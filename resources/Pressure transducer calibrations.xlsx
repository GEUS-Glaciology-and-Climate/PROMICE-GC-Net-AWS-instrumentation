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alibration coeff overview" sheetId="1" state="visible" r:id="rId3"/>
    <sheet name="GEUS calibrations" sheetId="2" state="visible" r:id="rId4"/>
    <sheet name="Ørum&amp;Jensen calibra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<sst xmlns="http://schemas.openxmlformats.org/spreadsheetml/2006/main" count="381" uniqueCount="240">
  <si>
    <t xml:space="preserve">Serial number</t>
  </si>
  <si>
    <t xml:space="preserve">Location</t>
  </si>
  <si>
    <t xml:space="preserve">Period</t>
  </si>
  <si>
    <t xml:space="preserve">Antifreeze %</t>
  </si>
  <si>
    <t xml:space="preserve">Density of antifreeze mixture at room temperature (kg/m3)</t>
  </si>
  <si>
    <t xml:space="preserve">Density for antifreeze mixture around 0 C (kg/m3)</t>
  </si>
  <si>
    <t xml:space="preserve">GEUS coefficient at room temperature (m/mV)</t>
  </si>
  <si>
    <t xml:space="preserve">GEUS coefficient around 0 C (m/mV)</t>
  </si>
  <si>
    <t xml:space="preserve">Density of water at room temperature (kg/m3)</t>
  </si>
  <si>
    <t xml:space="preserve">Ø&amp;J coefficient at room temperature (m/mV)</t>
  </si>
  <si>
    <t xml:space="preserve">Multiplication factor</t>
  </si>
  <si>
    <t xml:space="preserve">Ø&amp;J coefficient around 0 C when using antifreeze (m/mV)</t>
  </si>
  <si>
    <t xml:space="preserve">GEUS/Ø&amp;J</t>
  </si>
  <si>
    <t xml:space="preserve">Difference (%)</t>
  </si>
  <si>
    <t xml:space="preserve">KPC_U</t>
  </si>
  <si>
    <t xml:space="preserve">2008 -</t>
  </si>
  <si>
    <t xml:space="preserve">NUK_U</t>
  </si>
  <si>
    <t xml:space="preserve">2007 - 2010</t>
  </si>
  <si>
    <t xml:space="preserve">TAS_L</t>
  </si>
  <si>
    <t xml:space="preserve">2007 - </t>
  </si>
  <si>
    <t xml:space="preserve">QAS_L</t>
  </si>
  <si>
    <t xml:space="preserve">2007 - 2009</t>
  </si>
  <si>
    <t xml:space="preserve">KAN_L</t>
  </si>
  <si>
    <t xml:space="preserve">TAS_U</t>
  </si>
  <si>
    <t xml:space="preserve">NUK_L</t>
  </si>
  <si>
    <t xml:space="preserve">ZAK_M</t>
  </si>
  <si>
    <t xml:space="preserve">SCO_U?</t>
  </si>
  <si>
    <t xml:space="preserve">MAL</t>
  </si>
  <si>
    <t xml:space="preserve">2008 - 2008</t>
  </si>
  <si>
    <t xml:space="preserve">KPC_L</t>
  </si>
  <si>
    <t xml:space="preserve">QAS_U</t>
  </si>
  <si>
    <t xml:space="preserve">SCO_L?</t>
  </si>
  <si>
    <t xml:space="preserve">THU_L</t>
  </si>
  <si>
    <t xml:space="preserve">2010-</t>
  </si>
  <si>
    <t xml:space="preserve">2009 -</t>
  </si>
  <si>
    <t xml:space="preserve">x</t>
  </si>
  <si>
    <t xml:space="preserve">UPE_U</t>
  </si>
  <si>
    <t xml:space="preserve">UPE_L</t>
  </si>
  <si>
    <t xml:space="preserve">MIT</t>
  </si>
  <si>
    <t xml:space="preserve">NUK_U?</t>
  </si>
  <si>
    <t xml:space="preserve">2010 - </t>
  </si>
  <si>
    <t xml:space="preserve">NUK_L?</t>
  </si>
  <si>
    <t xml:space="preserve">THU_U</t>
  </si>
  <si>
    <t xml:space="preserve">2010 -</t>
  </si>
  <si>
    <t xml:space="preserve">?</t>
  </si>
  <si>
    <t xml:space="preserve">2011-</t>
  </si>
  <si>
    <t xml:space="preserve">Date</t>
  </si>
  <si>
    <t xml:space="preserve">Temperature (C)</t>
  </si>
  <si>
    <t xml:space="preserve">Air pressure (hPa)</t>
  </si>
  <si>
    <t xml:space="preserve">Height (m)</t>
  </si>
  <si>
    <t xml:space="preserve">Voltage (mV)</t>
  </si>
  <si>
    <t xml:space="preserve">Slope</t>
  </si>
  <si>
    <t xml:space="preserve">Standard error</t>
  </si>
  <si>
    <t xml:space="preserve">R^2</t>
  </si>
  <si>
    <t xml:space="preserve">591 output (mV)</t>
  </si>
  <si>
    <t xml:space="preserve">9 June 2008</t>
  </si>
  <si>
    <t xml:space="preserve">592 output (mV)</t>
  </si>
  <si>
    <t xml:space="preserve">593 output (mV)</t>
  </si>
  <si>
    <t xml:space="preserve">594 output (mV)</t>
  </si>
  <si>
    <t xml:space="preserve">595 output (mV)</t>
  </si>
  <si>
    <t xml:space="preserve">19 Aug 2008</t>
  </si>
  <si>
    <t xml:space="preserve">596 output (mV)</t>
  </si>
  <si>
    <t xml:space="preserve">597 output (mV)</t>
  </si>
  <si>
    <t xml:space="preserve">598 output (mV)</t>
  </si>
  <si>
    <t xml:space="preserve">5104 output (mV)</t>
  </si>
  <si>
    <t xml:space="preserve">5105 output (mV)</t>
  </si>
  <si>
    <t xml:space="preserve">5112 output (mV)</t>
  </si>
  <si>
    <t xml:space="preserve">2008</t>
  </si>
  <si>
    <t xml:space="preserve">5113 output (mV)</t>
  </si>
  <si>
    <t xml:space="preserve">11 Jul 2008</t>
  </si>
  <si>
    <t xml:space="preserve">5114 output (mV)</t>
  </si>
  <si>
    <t xml:space="preserve">5115 output (mV)</t>
  </si>
  <si>
    <t xml:space="preserve">5116 output (mV)</t>
  </si>
  <si>
    <t xml:space="preserve">28 Jul 2009</t>
  </si>
  <si>
    <t xml:space="preserve">5117 output (mV)</t>
  </si>
  <si>
    <t xml:space="preserve">5135 output (mV)</t>
  </si>
  <si>
    <t xml:space="preserve">8 Apr 2009</t>
  </si>
  <si>
    <t xml:space="preserve">5136 output (mV)</t>
  </si>
  <si>
    <t xml:space="preserve">5137 output (mV)</t>
  </si>
  <si>
    <t xml:space="preserve">5138 output (mV)</t>
  </si>
  <si>
    <t xml:space="preserve">5154 output (mV)</t>
  </si>
  <si>
    <t xml:space="preserve">5155 output (mV)</t>
  </si>
  <si>
    <t xml:space="preserve">5156 output (mV)</t>
  </si>
  <si>
    <t xml:space="preserve">5157 output (mV)</t>
  </si>
  <si>
    <t xml:space="preserve">5158 output (mV)</t>
  </si>
  <si>
    <t xml:space="preserve">20/3 2011</t>
  </si>
  <si>
    <t xml:space="preserve">Located where in 2020</t>
  </si>
  <si>
    <t xml:space="preserve">Located where in 2021</t>
  </si>
  <si>
    <t xml:space="preserve">Located where in 2022</t>
  </si>
  <si>
    <t xml:space="preserve">Located where in 2023</t>
  </si>
  <si>
    <t xml:space="preserve">Located where in 2024</t>
  </si>
  <si>
    <t xml:space="preserve">Located where 2025</t>
  </si>
  <si>
    <t xml:space="preserve">Located where 2026</t>
  </si>
  <si>
    <t xml:space="preserve">Comment</t>
  </si>
  <si>
    <t xml:space="preserve">5002 output (mV)</t>
  </si>
  <si>
    <t xml:space="preserve">5004 output (mV)</t>
  </si>
  <si>
    <t xml:space="preserve">5005 output (mV)</t>
  </si>
  <si>
    <t xml:space="preserve">5006 output (mV)</t>
  </si>
  <si>
    <t xml:space="preserve">5007 output (mV)</t>
  </si>
  <si>
    <t xml:space="preserve">5011 output (mV)</t>
  </si>
  <si>
    <t xml:space="preserve">5012 output (mV)</t>
  </si>
  <si>
    <t xml:space="preserve">KAN_Lv3</t>
  </si>
  <si>
    <t xml:space="preserve">5013 output (mV)</t>
  </si>
  <si>
    <t xml:space="preserve">5014 output (mV)</t>
  </si>
  <si>
    <t xml:space="preserve">5015 output (mV)</t>
  </si>
  <si>
    <t xml:space="preserve">5016 output (mV)</t>
  </si>
  <si>
    <t xml:space="preserve">5018 output (mV)</t>
  </si>
  <si>
    <t xml:space="preserve">5019 output (mV)</t>
  </si>
  <si>
    <t xml:space="preserve">5020 output (mV)</t>
  </si>
  <si>
    <t xml:space="preserve">5021 output (mV)</t>
  </si>
  <si>
    <t xml:space="preserve">5022 output (mV)</t>
  </si>
  <si>
    <t xml:space="preserve">5023 output (mV)</t>
  </si>
  <si>
    <t xml:space="preserve">5025 output (mV)</t>
  </si>
  <si>
    <t xml:space="preserve">5026 output (mV)</t>
  </si>
  <si>
    <t xml:space="preserve">5027 output (mV)</t>
  </si>
  <si>
    <t xml:space="preserve">5028 output (mV)</t>
  </si>
  <si>
    <t xml:space="preserve">5029 output (mV)</t>
  </si>
  <si>
    <t xml:space="preserve">5030 output (mV)</t>
  </si>
  <si>
    <t xml:space="preserve">5031 output (mV)</t>
  </si>
  <si>
    <t xml:space="preserve">5032 output (mV)</t>
  </si>
  <si>
    <t xml:space="preserve">5034 output (mV)</t>
  </si>
  <si>
    <t xml:space="preserve">5082 output (mV)</t>
  </si>
  <si>
    <t xml:space="preserve">5083 output (mV)</t>
  </si>
  <si>
    <t xml:space="preserve">5084 output (mV)</t>
  </si>
  <si>
    <t xml:space="preserve">5085 output (mV)</t>
  </si>
  <si>
    <t xml:space="preserve">5086 output (mV)</t>
  </si>
  <si>
    <t xml:space="preserve">5087 output (mV)</t>
  </si>
  <si>
    <t xml:space="preserve">QAS_Lv3</t>
  </si>
  <si>
    <t xml:space="preserve">Not working</t>
  </si>
  <si>
    <t xml:space="preserve">50111 output (mV)</t>
  </si>
  <si>
    <t xml:space="preserve">50112 output (mV)</t>
  </si>
  <si>
    <t xml:space="preserve">TAS_A</t>
  </si>
  <si>
    <t xml:space="preserve">50113 output (mV)</t>
  </si>
  <si>
    <t xml:space="preserve">THU_U2</t>
  </si>
  <si>
    <t xml:space="preserve">50114 output (mV)</t>
  </si>
  <si>
    <t xml:space="preserve">50115 output (mV)</t>
  </si>
  <si>
    <t xml:space="preserve">Thrown out</t>
  </si>
  <si>
    <t xml:space="preserve">50116 output (mV)</t>
  </si>
  <si>
    <t xml:space="preserve">5001 output (mV)</t>
  </si>
  <si>
    <t xml:space="preserve">5003 output (mV)</t>
  </si>
  <si>
    <t xml:space="preserve">5039 output (mV)</t>
  </si>
  <si>
    <t xml:space="preserve">5040 output (mV)</t>
  </si>
  <si>
    <t xml:space="preserve">5041 output (mV)</t>
  </si>
  <si>
    <t xml:space="preserve">5042 output (mV)</t>
  </si>
  <si>
    <t xml:space="preserve">5043 output (mV)</t>
  </si>
  <si>
    <t xml:space="preserve">5044 output (mV)</t>
  </si>
  <si>
    <t xml:space="preserve">5054 output (mV)</t>
  </si>
  <si>
    <t xml:space="preserve">FRE</t>
  </si>
  <si>
    <t xml:space="preserve">5055 output (mV)</t>
  </si>
  <si>
    <t xml:space="preserve">5063 output (mV)</t>
  </si>
  <si>
    <t xml:space="preserve">5064 output (mV)</t>
  </si>
  <si>
    <t xml:space="preserve">50117 output (mV)</t>
  </si>
  <si>
    <t xml:space="preserve">QAS_Uv3</t>
  </si>
  <si>
    <t xml:space="preserve">50118 output (mV)</t>
  </si>
  <si>
    <t xml:space="preserve">50119 output (mV)</t>
  </si>
  <si>
    <t xml:space="preserve">KAN_M</t>
  </si>
  <si>
    <t xml:space="preserve">50120 output (mV)</t>
  </si>
  <si>
    <t xml:space="preserve">ZAC_Lv3</t>
  </si>
  <si>
    <t xml:space="preserve">50121 output (mV)</t>
  </si>
  <si>
    <t xml:space="preserve">QAS_M</t>
  </si>
  <si>
    <t xml:space="preserve">50122 output (mV)</t>
  </si>
  <si>
    <t xml:space="preserve">50163 output (mV)</t>
  </si>
  <si>
    <t xml:space="preserve">NUK_K</t>
  </si>
  <si>
    <t xml:space="preserve">50164 output (mV)</t>
  </si>
  <si>
    <t xml:space="preserve">KPC_Uv3</t>
  </si>
  <si>
    <t xml:space="preserve">50165 output (mV)</t>
  </si>
  <si>
    <t xml:space="preserve">NUK_U AWS ver. 3</t>
  </si>
  <si>
    <t xml:space="preserve">NUK_Uv3</t>
  </si>
  <si>
    <t xml:space="preserve">50166 output (mV)</t>
  </si>
  <si>
    <t xml:space="preserve">SCO_U</t>
  </si>
  <si>
    <t xml:space="preserve">50167 output (mV)</t>
  </si>
  <si>
    <t xml:space="preserve">SCO_L</t>
  </si>
  <si>
    <t xml:space="preserve">ZAC_Uv3</t>
  </si>
  <si>
    <t xml:space="preserve">50180 output (mV)</t>
  </si>
  <si>
    <t xml:space="preserve">50181 output (mV)</t>
  </si>
  <si>
    <t xml:space="preserve">50182 output (mV)</t>
  </si>
  <si>
    <t xml:space="preserve">50183 output (mV)</t>
  </si>
  <si>
    <t xml:space="preserve">50184 output (mV)</t>
  </si>
  <si>
    <t xml:space="preserve">JAR</t>
  </si>
  <si>
    <t xml:space="preserve">50185 output (mV)</t>
  </si>
  <si>
    <t xml:space="preserve">QAS_L?</t>
  </si>
  <si>
    <t xml:space="preserve">THU_L2</t>
  </si>
  <si>
    <t xml:space="preserve">50186 output (mV)</t>
  </si>
  <si>
    <t xml:space="preserve">GEUS</t>
  </si>
  <si>
    <t xml:space="preserve">50187 output (mV)</t>
  </si>
  <si>
    <t xml:space="preserve">50188 output (mV)</t>
  </si>
  <si>
    <t xml:space="preserve">50189 output (mV)</t>
  </si>
  <si>
    <t xml:space="preserve">50190 output (mV)</t>
  </si>
  <si>
    <t xml:space="preserve">50191 output (mV)</t>
  </si>
  <si>
    <t xml:space="preserve">50192 output (mV)</t>
  </si>
  <si>
    <t xml:space="preserve">50193 output (mV)</t>
  </si>
  <si>
    <t xml:space="preserve">SWC_O</t>
  </si>
  <si>
    <t xml:space="preserve">50194 output (mV)</t>
  </si>
  <si>
    <t xml:space="preserve">50195 output (mV)</t>
  </si>
  <si>
    <t xml:space="preserve">KPC_Lv3</t>
  </si>
  <si>
    <t xml:space="preserve">50196 output (mV)</t>
  </si>
  <si>
    <t xml:space="preserve">50204 output (mV)</t>
  </si>
  <si>
    <t xml:space="preserve">50205 output (mV)</t>
  </si>
  <si>
    <t xml:space="preserve">50206 output (mV)</t>
  </si>
  <si>
    <t xml:space="preserve">WEG_L</t>
  </si>
  <si>
    <t xml:space="preserve">50207 output (mV)</t>
  </si>
  <si>
    <t xml:space="preserve">50208 output (mV)</t>
  </si>
  <si>
    <t xml:space="preserve">JAR_O</t>
  </si>
  <si>
    <t xml:space="preserve">50209 output (mV)</t>
  </si>
  <si>
    <t xml:space="preserve">TAS_Av3</t>
  </si>
  <si>
    <t xml:space="preserve">50210 output (mV)</t>
  </si>
  <si>
    <t xml:space="preserve">50211 output (mV)</t>
  </si>
  <si>
    <t xml:space="preserve">THU_U2v3</t>
  </si>
  <si>
    <t xml:space="preserve">50212 output (mV)</t>
  </si>
  <si>
    <t xml:space="preserve">50213 output (mV)</t>
  </si>
  <si>
    <t xml:space="preserve">QAS_Mv3</t>
  </si>
  <si>
    <t xml:space="preserve">50268 output (mV)</t>
  </si>
  <si>
    <t xml:space="preserve">50269 output (mV)</t>
  </si>
  <si>
    <t xml:space="preserve">50270 output (mV)</t>
  </si>
  <si>
    <t xml:space="preserve">50271 output (mV)</t>
  </si>
  <si>
    <t xml:space="preserve">50272 output (mV)</t>
  </si>
  <si>
    <t xml:space="preserve">50273 output (mV)</t>
  </si>
  <si>
    <t xml:space="preserve">50274 output (mV)</t>
  </si>
  <si>
    <t xml:space="preserve">SCO_Lv3</t>
  </si>
  <si>
    <t xml:space="preserve">50275 output (mV)</t>
  </si>
  <si>
    <t xml:space="preserve">50276 output (mV)</t>
  </si>
  <si>
    <t xml:space="preserve">50277 output (mV)</t>
  </si>
  <si>
    <t xml:space="preserve">RED_Lv3</t>
  </si>
  <si>
    <t xml:space="preserve">50278 output (mV)</t>
  </si>
  <si>
    <t xml:space="preserve">50279 output (mV)</t>
  </si>
  <si>
    <t xml:space="preserve">KAN_T</t>
  </si>
  <si>
    <t xml:space="preserve">50280 output (mV)</t>
  </si>
  <si>
    <t xml:space="preserve">50281 output (mV)</t>
  </si>
  <si>
    <t xml:space="preserve">50282 output (mV)</t>
  </si>
  <si>
    <t xml:space="preserve">50283 output (mV)</t>
  </si>
  <si>
    <t xml:space="preserve">50302 output (mV)</t>
  </si>
  <si>
    <t xml:space="preserve">50303 output (mV)</t>
  </si>
  <si>
    <t xml:space="preserve">50304 output (mV)</t>
  </si>
  <si>
    <t xml:space="preserve">50305 output (mV)</t>
  </si>
  <si>
    <t xml:space="preserve">50306 output (mV)</t>
  </si>
  <si>
    <t xml:space="preserve">50307 output (mV)</t>
  </si>
  <si>
    <t xml:space="preserve">50308 output (mV)</t>
  </si>
  <si>
    <t xml:space="preserve">50309 output (mV)</t>
  </si>
  <si>
    <t xml:space="preserve">50310 output (mV)</t>
  </si>
  <si>
    <t xml:space="preserve">50311 output (mV)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</si>
</sst>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00"/>
    <numFmt numFmtId="166" formatCode="0.000"/>
    <numFmt numFmtId="167" formatCode="0.0"/>
    <numFmt numFmtId="168" formatCode="@"/>
    <numFmt numFmtId="169" formatCode="#,##0"/>
  </numFmts>
  <fonts count="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7030A0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1" activeCellId="0" sqref="K1"/>
    </sheetView>
  </sheetViews>
  <sheetFormatPr defaultColWidth="8.88671875" defaultRowHeight="12.75" zeroHeight="false" outlineLevelRow="0" outlineLevelCol="0"/>
  <cols>
    <col collapsed="false" customWidth="true" hidden="false" outlineLevel="0" max="1" min="1" style="1" width="7.88"/>
    <col collapsed="false" customWidth="true" hidden="false" outlineLevel="0" max="2" min="2" style="2" width="11.33"/>
    <col collapsed="false" customWidth="true" hidden="false" outlineLevel="0" max="3" min="3" style="1" width="11.33"/>
    <col collapsed="false" customWidth="true" hidden="false" outlineLevel="0" max="4" min="4" style="2" width="6.67"/>
    <col collapsed="false" customWidth="true" hidden="false" outlineLevel="0" max="5" min="5" style="1" width="8.34"/>
    <col collapsed="false" customWidth="true" hidden="false" outlineLevel="0" max="6" min="6" style="1" width="8.44"/>
    <col collapsed="false" customWidth="true" hidden="false" outlineLevel="0" max="7" min="7" style="3" width="19.88"/>
    <col collapsed="false" customWidth="true" hidden="false" outlineLevel="0" max="8" min="8" style="4" width="22.88"/>
    <col collapsed="false" customWidth="true" hidden="false" outlineLevel="0" max="9" min="9" style="2" width="11.33"/>
    <col collapsed="false" customWidth="true" hidden="false" outlineLevel="0" max="10" min="10" style="3" width="11.67"/>
    <col collapsed="false" customWidth="true" hidden="false" outlineLevel="0" max="11" min="11" style="4" width="18.56"/>
    <col collapsed="false" customWidth="true" hidden="false" outlineLevel="0" max="12" min="12" style="4" width="11.67"/>
    <col collapsed="false" customWidth="true" hidden="false" outlineLevel="0" max="13" min="13" style="5" width="10.88"/>
    <col collapsed="false" customWidth="true" hidden="false" outlineLevel="0" max="14" min="14" style="6" width="10.88"/>
  </cols>
  <sheetData>
    <row r="1" s="7" customFormat="true" ht="12.75" hidden="false" customHeight="false" outlineLevel="0" collapsed="false">
      <c r="A1" s="7" t="s">
        <v>0</v>
      </c>
      <c r="B1" s="8" t="s">
        <v>1</v>
      </c>
      <c r="C1" s="7" t="s">
        <v>2</v>
      </c>
      <c r="D1" s="8" t="s">
        <v>3</v>
      </c>
      <c r="E1" s="7" t="s">
        <v>4</v>
      </c>
      <c r="F1" s="7" t="s">
        <v>5</v>
      </c>
      <c r="G1" s="9" t="s">
        <v>6</v>
      </c>
      <c r="H1" s="10" t="s">
        <v>7</v>
      </c>
      <c r="I1" s="8" t="s">
        <v>8</v>
      </c>
      <c r="J1" s="9" t="s">
        <v>9</v>
      </c>
      <c r="K1" s="10" t="s">
        <v>10</v>
      </c>
      <c r="L1" s="10" t="s">
        <v>11</v>
      </c>
      <c r="M1" s="11" t="s">
        <v>12</v>
      </c>
      <c r="N1" s="12" t="s">
        <v>13</v>
      </c>
    </row>
    <row r="2" customFormat="false" ht="12.75" hidden="false" customHeight="false" outlineLevel="0" collapsed="false">
      <c r="A2" s="1" t="n">
        <v>591</v>
      </c>
      <c r="B2" s="2" t="s">
        <v>14</v>
      </c>
      <c r="C2" s="13" t="s">
        <v>15</v>
      </c>
      <c r="D2" s="2" t="n">
        <v>100</v>
      </c>
      <c r="E2" s="1" t="n">
        <v>1130</v>
      </c>
      <c r="F2" s="13" t="n">
        <f aca="false">E2+15</f>
        <v>1145</v>
      </c>
      <c r="G2" s="3" t="n">
        <f aca="false">'GEUS calibrations'!AA2</f>
        <v>1.0768513745802</v>
      </c>
      <c r="H2" s="4" t="n">
        <f aca="false">G2*E2/F2</f>
        <v>1.06274415133243</v>
      </c>
      <c r="I2" s="2" t="n">
        <v>998</v>
      </c>
      <c r="J2" s="3" t="n">
        <f aca="false">'Ørum&amp;Jensen calibrations'!J2</f>
        <v>0.442516300098237</v>
      </c>
      <c r="K2" s="4" t="n">
        <v>2.5</v>
      </c>
      <c r="L2" s="4" t="n">
        <f aca="false">J2*I2/F2*K2</f>
        <v>0.964260409384367</v>
      </c>
      <c r="M2" s="5" t="n">
        <f aca="false">H2/L2</f>
        <v>1.10213396815797</v>
      </c>
      <c r="N2" s="6" t="n">
        <f aca="false">100*(H2-L2)/L2</f>
        <v>10.2133968157975</v>
      </c>
    </row>
    <row r="3" customFormat="false" ht="12.75" hidden="false" customHeight="false" outlineLevel="0" collapsed="false">
      <c r="A3" s="1" t="n">
        <v>592</v>
      </c>
      <c r="B3" s="2" t="s">
        <v>16</v>
      </c>
      <c r="C3" s="13" t="s">
        <v>17</v>
      </c>
      <c r="D3" s="2" t="n">
        <v>100</v>
      </c>
      <c r="E3" s="1" t="n">
        <v>1130</v>
      </c>
      <c r="F3" s="13" t="n">
        <f aca="false">E3+15</f>
        <v>1145</v>
      </c>
      <c r="G3" s="3" t="e">
        <f aca="false">'GEUS calibrations'!AA3</f>
        <v>#VALUE!</v>
      </c>
      <c r="H3" s="4" t="e">
        <f aca="false">G3*E3/F3</f>
        <v>#VALUE!</v>
      </c>
      <c r="I3" s="2" t="n">
        <v>998</v>
      </c>
      <c r="J3" s="3" t="n">
        <f aca="false">'Ørum&amp;Jensen calibrations'!J3</f>
        <v>0.425272354474901</v>
      </c>
      <c r="K3" s="4" t="n">
        <v>2.5</v>
      </c>
      <c r="L3" s="4" t="n">
        <f aca="false">J3*I3/F3*K3</f>
        <v>0.926685174161465</v>
      </c>
      <c r="M3" s="5" t="e">
        <f aca="false">H3/L3</f>
        <v>#VALUE!</v>
      </c>
      <c r="N3" s="6" t="e">
        <f aca="false">100*(H3-L3)/L3</f>
        <v>#VALUE!</v>
      </c>
    </row>
    <row r="4" customFormat="false" ht="12.75" hidden="false" customHeight="false" outlineLevel="0" collapsed="false">
      <c r="A4" s="1" t="n">
        <v>593</v>
      </c>
      <c r="B4" s="2" t="s">
        <v>18</v>
      </c>
      <c r="C4" s="13" t="s">
        <v>19</v>
      </c>
      <c r="D4" s="2" t="n">
        <v>100</v>
      </c>
      <c r="E4" s="1" t="n">
        <v>1130</v>
      </c>
      <c r="F4" s="13" t="n">
        <f aca="false">E4+15</f>
        <v>1145</v>
      </c>
      <c r="G4" s="3" t="e">
        <f aca="false">'GEUS calibrations'!AA4</f>
        <v>#VALUE!</v>
      </c>
      <c r="H4" s="4" t="e">
        <f aca="false">G4*E4/F4</f>
        <v>#VALUE!</v>
      </c>
      <c r="I4" s="2" t="n">
        <v>998</v>
      </c>
      <c r="J4" s="3" t="n">
        <f aca="false">'Ørum&amp;Jensen calibrations'!J4</f>
        <v>0.430413095810383</v>
      </c>
      <c r="K4" s="4" t="n">
        <v>2.5</v>
      </c>
      <c r="L4" s="4" t="n">
        <f aca="false">J4*I4/F4*K4</f>
        <v>0.93788705156935</v>
      </c>
      <c r="M4" s="5" t="e">
        <f aca="false">H4/L4</f>
        <v>#VALUE!</v>
      </c>
      <c r="N4" s="6" t="e">
        <f aca="false">100*(H4-L4)/L4</f>
        <v>#VALUE!</v>
      </c>
    </row>
    <row r="5" customFormat="false" ht="12.75" hidden="false" customHeight="false" outlineLevel="0" collapsed="false">
      <c r="A5" s="1" t="n">
        <v>594</v>
      </c>
      <c r="B5" s="2" t="s">
        <v>20</v>
      </c>
      <c r="C5" s="13" t="s">
        <v>21</v>
      </c>
      <c r="D5" s="2" t="n">
        <v>100</v>
      </c>
      <c r="E5" s="1" t="n">
        <v>1130</v>
      </c>
      <c r="F5" s="13" t="n">
        <f aca="false">E5+15</f>
        <v>1145</v>
      </c>
      <c r="G5" s="3" t="e">
        <f aca="false">'GEUS calibrations'!AA5</f>
        <v>#VALUE!</v>
      </c>
      <c r="H5" s="4" t="e">
        <f aca="false">G5*E5/F5</f>
        <v>#VALUE!</v>
      </c>
      <c r="I5" s="2" t="n">
        <v>998</v>
      </c>
      <c r="J5" s="3" t="n">
        <f aca="false">'Ørum&amp;Jensen calibrations'!J5</f>
        <v>0.436876483252755</v>
      </c>
      <c r="K5" s="4" t="n">
        <v>2.5</v>
      </c>
      <c r="L5" s="4" t="n">
        <f aca="false">J5*I5/F5*K5</f>
        <v>0.951971026825873</v>
      </c>
      <c r="M5" s="5" t="e">
        <f aca="false">H5/L5</f>
        <v>#VALUE!</v>
      </c>
      <c r="N5" s="6" t="e">
        <f aca="false">100*(H5-L5)/L5</f>
        <v>#VALUE!</v>
      </c>
    </row>
    <row r="6" customFormat="false" ht="12.75" hidden="false" customHeight="false" outlineLevel="0" collapsed="false">
      <c r="A6" s="1" t="n">
        <v>595</v>
      </c>
      <c r="B6" s="2" t="s">
        <v>22</v>
      </c>
      <c r="C6" s="13" t="s">
        <v>15</v>
      </c>
      <c r="D6" s="2" t="n">
        <v>100</v>
      </c>
      <c r="E6" s="1" t="n">
        <v>1130</v>
      </c>
      <c r="F6" s="13" t="n">
        <f aca="false">E6+15</f>
        <v>1145</v>
      </c>
      <c r="G6" s="3" t="n">
        <f aca="false">'GEUS calibrations'!AA6</f>
        <v>1.13199902086912</v>
      </c>
      <c r="H6" s="4" t="n">
        <f aca="false">G6*E6/F6</f>
        <v>1.11716933937302</v>
      </c>
      <c r="I6" s="2" t="n">
        <v>998</v>
      </c>
      <c r="J6" s="3" t="n">
        <f aca="false">'Ørum&amp;Jensen calibrations'!J6</f>
        <v>0.438738311210404</v>
      </c>
      <c r="K6" s="4" t="n">
        <v>2.5</v>
      </c>
      <c r="L6" s="4" t="n">
        <f aca="false">J6*I6/F6*K6</f>
        <v>0.956028023117866</v>
      </c>
      <c r="M6" s="5" t="n">
        <f aca="false">H6/L6</f>
        <v>1.16855292141922</v>
      </c>
      <c r="N6" s="6" t="n">
        <f aca="false">100*(H6-L6)/L6</f>
        <v>16.8552921419216</v>
      </c>
    </row>
    <row r="7" customFormat="false" ht="12.75" hidden="false" customHeight="false" outlineLevel="0" collapsed="false">
      <c r="A7" s="1" t="n">
        <v>596</v>
      </c>
      <c r="B7" s="2" t="s">
        <v>23</v>
      </c>
      <c r="C7" s="13" t="s">
        <v>19</v>
      </c>
      <c r="D7" s="2" t="n">
        <v>100</v>
      </c>
      <c r="E7" s="1" t="n">
        <v>1130</v>
      </c>
      <c r="F7" s="13" t="n">
        <f aca="false">E7+15</f>
        <v>1145</v>
      </c>
      <c r="G7" s="3" t="e">
        <f aca="false">'GEUS calibrations'!AA7</f>
        <v>#VALUE!</v>
      </c>
      <c r="H7" s="4" t="e">
        <f aca="false">G7*E7/F7</f>
        <v>#VALUE!</v>
      </c>
      <c r="I7" s="2" t="n">
        <v>998</v>
      </c>
      <c r="J7" s="3" t="n">
        <f aca="false">'Ørum&amp;Jensen calibrations'!J7</f>
        <v>0.430930492216645</v>
      </c>
      <c r="K7" s="4" t="n">
        <v>2.5</v>
      </c>
      <c r="L7" s="4" t="n">
        <f aca="false">J7*I7/F7*K7</f>
        <v>0.939014478672952</v>
      </c>
      <c r="M7" s="5" t="e">
        <f aca="false">H7/L7</f>
        <v>#VALUE!</v>
      </c>
      <c r="N7" s="6" t="e">
        <f aca="false">100*(H7-L7)/L7</f>
        <v>#VALUE!</v>
      </c>
    </row>
    <row r="8" customFormat="false" ht="12.75" hidden="false" customHeight="false" outlineLevel="0" collapsed="false">
      <c r="A8" s="1" t="n">
        <v>597</v>
      </c>
      <c r="B8" s="2" t="s">
        <v>24</v>
      </c>
      <c r="C8" s="13" t="s">
        <v>17</v>
      </c>
      <c r="D8" s="2" t="n">
        <v>100</v>
      </c>
      <c r="E8" s="1" t="n">
        <v>1130</v>
      </c>
      <c r="F8" s="13" t="n">
        <f aca="false">E8+15</f>
        <v>1145</v>
      </c>
      <c r="G8" s="3" t="e">
        <f aca="false">'GEUS calibrations'!AA8</f>
        <v>#VALUE!</v>
      </c>
      <c r="H8" s="4" t="e">
        <f aca="false">G8*E8/F8</f>
        <v>#VALUE!</v>
      </c>
      <c r="I8" s="2" t="n">
        <v>998</v>
      </c>
      <c r="J8" s="3" t="n">
        <f aca="false">'Ørum&amp;Jensen calibrations'!J8</f>
        <v>0.431624129949661</v>
      </c>
      <c r="K8" s="4" t="n">
        <v>2.5</v>
      </c>
      <c r="L8" s="4" t="n">
        <f aca="false">J8*I8/F8*K8</f>
        <v>0.940525942554064</v>
      </c>
      <c r="M8" s="5" t="e">
        <f aca="false">H8/L8</f>
        <v>#VALUE!</v>
      </c>
      <c r="N8" s="6" t="e">
        <f aca="false">100*(H8-L8)/L8</f>
        <v>#VALUE!</v>
      </c>
    </row>
    <row r="9" customFormat="false" ht="12.75" hidden="false" customHeight="false" outlineLevel="0" collapsed="false">
      <c r="A9" s="1" t="n">
        <v>598</v>
      </c>
      <c r="B9" s="2" t="s">
        <v>25</v>
      </c>
      <c r="C9" s="13" t="s">
        <v>15</v>
      </c>
      <c r="D9" s="2" t="n">
        <v>100</v>
      </c>
      <c r="E9" s="1" t="n">
        <v>1130</v>
      </c>
      <c r="F9" s="13" t="n">
        <f aca="false">E9+15</f>
        <v>1145</v>
      </c>
      <c r="G9" s="3" t="e">
        <f aca="false">'GEUS calibrations'!AA9</f>
        <v>#VALUE!</v>
      </c>
      <c r="H9" s="4" t="e">
        <f aca="false">G9*E9/F9</f>
        <v>#VALUE!</v>
      </c>
      <c r="I9" s="2" t="n">
        <v>998</v>
      </c>
      <c r="J9" s="3" t="n">
        <f aca="false">'Ørum&amp;Jensen calibrations'!J9</f>
        <v>0.434379446399724</v>
      </c>
      <c r="K9" s="4" t="n">
        <v>2.5</v>
      </c>
      <c r="L9" s="4" t="n">
        <f aca="false">J9*I9/F9*K9</f>
        <v>0.946529885386299</v>
      </c>
      <c r="M9" s="5" t="e">
        <f aca="false">H9/L9</f>
        <v>#VALUE!</v>
      </c>
      <c r="N9" s="6" t="e">
        <f aca="false">100*(H9-L9)/L9</f>
        <v>#VALUE!</v>
      </c>
    </row>
    <row r="10" customFormat="false" ht="12.75" hidden="false" customHeight="false" outlineLevel="0" collapsed="false">
      <c r="A10" s="1" t="n">
        <v>5104</v>
      </c>
      <c r="B10" s="2" t="s">
        <v>26</v>
      </c>
      <c r="C10" s="13" t="s">
        <v>15</v>
      </c>
      <c r="D10" s="2" t="n">
        <v>100</v>
      </c>
      <c r="E10" s="1" t="n">
        <v>1130</v>
      </c>
      <c r="F10" s="13" t="n">
        <f aca="false">E10+15</f>
        <v>1145</v>
      </c>
      <c r="G10" s="3" t="e">
        <f aca="false">'GEUS calibrations'!AA10</f>
        <v>#VALUE!</v>
      </c>
      <c r="H10" s="4" t="e">
        <f aca="false">G10*E10/F10</f>
        <v>#VALUE!</v>
      </c>
      <c r="I10" s="2" t="n">
        <v>998</v>
      </c>
      <c r="J10" s="3" t="n">
        <f aca="false">'Ørum&amp;Jensen calibrations'!J10</f>
        <v>0.438931954225042</v>
      </c>
      <c r="K10" s="4" t="n">
        <v>2.5</v>
      </c>
      <c r="L10" s="4" t="n">
        <f aca="false">J10*I10/F10*K10</f>
        <v>0.956449978857187</v>
      </c>
      <c r="M10" s="5" t="e">
        <f aca="false">H10/L10</f>
        <v>#VALUE!</v>
      </c>
      <c r="N10" s="6" t="e">
        <f aca="false">100*(H10-L10)/L10</f>
        <v>#VALUE!</v>
      </c>
    </row>
    <row r="11" customFormat="false" ht="12.75" hidden="false" customHeight="false" outlineLevel="0" collapsed="false">
      <c r="A11" s="1" t="n">
        <v>5105</v>
      </c>
      <c r="B11" s="2" t="s">
        <v>27</v>
      </c>
      <c r="C11" s="13" t="s">
        <v>28</v>
      </c>
      <c r="D11" s="2" t="n">
        <v>100</v>
      </c>
      <c r="E11" s="1" t="n">
        <v>1130</v>
      </c>
      <c r="F11" s="13" t="n">
        <f aca="false">E11+15</f>
        <v>1145</v>
      </c>
      <c r="G11" s="3" t="e">
        <f aca="false">'GEUS calibrations'!AA11</f>
        <v>#VALUE!</v>
      </c>
      <c r="H11" s="4" t="e">
        <f aca="false">G11*E11/F11</f>
        <v>#VALUE!</v>
      </c>
      <c r="I11" s="2" t="n">
        <v>998</v>
      </c>
      <c r="J11" s="3" t="n">
        <f aca="false">'Ørum&amp;Jensen calibrations'!J11</f>
        <v>0.437243007281525</v>
      </c>
      <c r="K11" s="4" t="n">
        <v>2.5</v>
      </c>
      <c r="L11" s="4" t="n">
        <f aca="false">J11*I11/F11*K11</f>
        <v>0.952769697089436</v>
      </c>
      <c r="M11" s="5" t="e">
        <f aca="false">H11/L11</f>
        <v>#VALUE!</v>
      </c>
      <c r="N11" s="6" t="e">
        <f aca="false">100*(H11-L11)/L11</f>
        <v>#VALUE!</v>
      </c>
    </row>
    <row r="12" customFormat="false" ht="12.75" hidden="false" customHeight="false" outlineLevel="0" collapsed="false">
      <c r="A12" s="1" t="n">
        <v>5112</v>
      </c>
      <c r="B12" s="2" t="s">
        <v>29</v>
      </c>
      <c r="C12" s="13" t="s">
        <v>15</v>
      </c>
      <c r="D12" s="2" t="n">
        <v>100</v>
      </c>
      <c r="E12" s="1" t="n">
        <v>1130</v>
      </c>
      <c r="F12" s="13" t="n">
        <f aca="false">E12+15</f>
        <v>1145</v>
      </c>
      <c r="G12" s="3" t="n">
        <f aca="false">'GEUS calibrations'!AA12</f>
        <v>1.11599166316862</v>
      </c>
      <c r="H12" s="4" t="n">
        <f aca="false">G12*E12/F12</f>
        <v>1.10137168504851</v>
      </c>
      <c r="I12" s="2" t="n">
        <v>998</v>
      </c>
      <c r="J12" s="3" t="n">
        <f aca="false">'Ørum&amp;Jensen calibrations'!J12</f>
        <v>0.442037003988918</v>
      </c>
      <c r="K12" s="4" t="n">
        <v>2.5</v>
      </c>
      <c r="L12" s="4" t="n">
        <f aca="false">J12*I12/F12*K12</f>
        <v>0.963216004325198</v>
      </c>
      <c r="M12" s="5" t="n">
        <f aca="false">H12/L12</f>
        <v>1.14343167067713</v>
      </c>
      <c r="N12" s="6" t="n">
        <f aca="false">100*(H12-L12)/L12</f>
        <v>14.3431670677127</v>
      </c>
    </row>
    <row r="13" customFormat="false" ht="12.75" hidden="false" customHeight="false" outlineLevel="0" collapsed="false">
      <c r="A13" s="1" t="n">
        <v>5113</v>
      </c>
      <c r="B13" s="2" t="s">
        <v>30</v>
      </c>
      <c r="C13" s="13" t="s">
        <v>15</v>
      </c>
      <c r="D13" s="2" t="n">
        <v>100</v>
      </c>
      <c r="E13" s="1" t="n">
        <v>1130</v>
      </c>
      <c r="F13" s="13" t="n">
        <f aca="false">E13+15</f>
        <v>1145</v>
      </c>
      <c r="G13" s="3" t="n">
        <f aca="false">'GEUS calibrations'!AA13</f>
        <v>1.11161936848219</v>
      </c>
      <c r="H13" s="4" t="n">
        <f aca="false">G13*E13/F13</f>
        <v>1.09705666933177</v>
      </c>
      <c r="I13" s="2" t="n">
        <v>998</v>
      </c>
      <c r="J13" s="3" t="n">
        <f aca="false">'Ørum&amp;Jensen calibrations'!J13</f>
        <v>0.443418658478478</v>
      </c>
      <c r="K13" s="4" t="n">
        <v>2.5</v>
      </c>
      <c r="L13" s="4" t="n">
        <f aca="false">J13*I13/F13*K13</f>
        <v>0.966226683758779</v>
      </c>
      <c r="M13" s="5" t="n">
        <f aca="false">H13/L13</f>
        <v>1.1354029936992</v>
      </c>
      <c r="N13" s="6" t="n">
        <f aca="false">100*(H13-L13)/L13</f>
        <v>13.5402993699198</v>
      </c>
    </row>
    <row r="14" customFormat="false" ht="12.75" hidden="false" customHeight="false" outlineLevel="0" collapsed="false">
      <c r="A14" s="1" t="n">
        <v>5114</v>
      </c>
      <c r="B14" s="2" t="s">
        <v>31</v>
      </c>
      <c r="C14" s="13" t="s">
        <v>15</v>
      </c>
      <c r="D14" s="2" t="n">
        <v>100</v>
      </c>
      <c r="E14" s="1" t="n">
        <v>1130</v>
      </c>
      <c r="F14" s="13" t="n">
        <f aca="false">E14+15</f>
        <v>1145</v>
      </c>
      <c r="G14" s="3" t="n">
        <f aca="false">'GEUS calibrations'!AA14</f>
        <v>1.1171914157731</v>
      </c>
      <c r="H14" s="4" t="n">
        <f aca="false">G14*E14/F14</f>
        <v>1.10255572036996</v>
      </c>
      <c r="I14" s="2" t="n">
        <v>998</v>
      </c>
      <c r="J14" s="3" t="n">
        <f aca="false">'Ørum&amp;Jensen calibrations'!J14</f>
        <v>0.443082431436414</v>
      </c>
      <c r="K14" s="4" t="n">
        <v>2.5</v>
      </c>
      <c r="L14" s="4" t="n">
        <f aca="false">J14*I14/F14*K14</f>
        <v>0.965494031819959</v>
      </c>
      <c r="M14" s="5" t="n">
        <f aca="false">H14/L14</f>
        <v>1.14196016136075</v>
      </c>
      <c r="N14" s="6" t="n">
        <f aca="false">100*(H14-L14)/L14</f>
        <v>14.1960161360746</v>
      </c>
    </row>
    <row r="15" customFormat="false" ht="12.75" hidden="false" customHeight="false" outlineLevel="0" collapsed="false">
      <c r="A15" s="1" t="n">
        <v>5115</v>
      </c>
      <c r="B15" s="14" t="s">
        <v>32</v>
      </c>
      <c r="C15" s="15" t="s">
        <v>33</v>
      </c>
      <c r="D15" s="2" t="n">
        <v>50</v>
      </c>
      <c r="E15" s="1" t="n">
        <v>1077</v>
      </c>
      <c r="F15" s="13" t="n">
        <f aca="false">E15+15</f>
        <v>1092</v>
      </c>
      <c r="G15" s="3" t="e">
        <f aca="false">'GEUS calibrations'!AA15</f>
        <v>#VALUE!</v>
      </c>
      <c r="H15" s="4" t="e">
        <f aca="false">G15*E15/F15</f>
        <v>#VALUE!</v>
      </c>
      <c r="I15" s="2" t="n">
        <v>998</v>
      </c>
      <c r="J15" s="3" t="n">
        <f aca="false">'Ørum&amp;Jensen calibrations'!J15</f>
        <v>0.415910728616972</v>
      </c>
      <c r="K15" s="4" t="n">
        <v>2.5</v>
      </c>
      <c r="L15" s="4" t="n">
        <f aca="false">J15*I15/F15*K15</f>
        <v>0.950272223351048</v>
      </c>
      <c r="M15" s="5" t="e">
        <f aca="false">H15/L15</f>
        <v>#VALUE!</v>
      </c>
      <c r="N15" s="6" t="e">
        <f aca="false">100*(H15-L15)/L15</f>
        <v>#VALUE!</v>
      </c>
    </row>
    <row r="16" customFormat="false" ht="12.75" hidden="false" customHeight="false" outlineLevel="0" collapsed="false">
      <c r="A16" s="1" t="n">
        <v>5116</v>
      </c>
      <c r="B16" s="2" t="s">
        <v>20</v>
      </c>
      <c r="C16" s="13" t="s">
        <v>34</v>
      </c>
      <c r="D16" s="2" t="n">
        <v>50</v>
      </c>
      <c r="E16" s="1" t="n">
        <v>1077</v>
      </c>
      <c r="F16" s="13" t="n">
        <f aca="false">E16+15</f>
        <v>1092</v>
      </c>
      <c r="G16" s="3" t="n">
        <f aca="false">'GEUS calibrations'!AA16</f>
        <v>1.17880156687622</v>
      </c>
      <c r="H16" s="4" t="n">
        <f aca="false">G16*E16/F16</f>
        <v>1.16260923766089</v>
      </c>
      <c r="I16" s="2" t="n">
        <v>998</v>
      </c>
      <c r="J16" s="3" t="n">
        <f aca="false">'Ørum&amp;Jensen calibrations'!J16</f>
        <v>0.449288073786312</v>
      </c>
      <c r="K16" s="4" t="n">
        <v>2.5</v>
      </c>
      <c r="L16" s="4" t="n">
        <f aca="false">J16*I16/F16*K16</f>
        <v>1.02653273268942</v>
      </c>
      <c r="M16" s="5" t="n">
        <f aca="false">H16/L16</f>
        <v>1.13255934334891</v>
      </c>
      <c r="N16" s="6" t="n">
        <f aca="false">100*(H16-L16)/L16</f>
        <v>13.2559343348906</v>
      </c>
    </row>
    <row r="17" customFormat="false" ht="12.75" hidden="false" customHeight="false" outlineLevel="0" collapsed="false">
      <c r="A17" s="1" t="n">
        <v>5117</v>
      </c>
      <c r="B17" s="2" t="s">
        <v>35</v>
      </c>
      <c r="C17" s="13" t="s">
        <v>35</v>
      </c>
      <c r="D17" s="2" t="n">
        <v>50</v>
      </c>
      <c r="E17" s="1" t="n">
        <v>1077</v>
      </c>
      <c r="F17" s="13" t="n">
        <f aca="false">E17+15</f>
        <v>1092</v>
      </c>
      <c r="G17" s="3" t="e">
        <f aca="false">'GEUS calibrations'!AA17</f>
        <v>#VALUE!</v>
      </c>
      <c r="H17" s="4" t="e">
        <f aca="false">G17*E17/F17</f>
        <v>#VALUE!</v>
      </c>
      <c r="I17" s="2" t="n">
        <v>998</v>
      </c>
      <c r="J17" s="3" t="n">
        <f aca="false">'Ørum&amp;Jensen calibrations'!J17</f>
        <v>0.444025246358821</v>
      </c>
      <c r="K17" s="4" t="n">
        <v>2.5</v>
      </c>
      <c r="L17" s="4" t="n">
        <f aca="false">J17*I17/F17*K17</f>
        <v>1.01450823229419</v>
      </c>
      <c r="M17" s="5" t="e">
        <f aca="false">H17/L17</f>
        <v>#VALUE!</v>
      </c>
      <c r="N17" s="6" t="e">
        <f aca="false">100*(H17-L17)/L17</f>
        <v>#VALUE!</v>
      </c>
    </row>
    <row r="18" customFormat="false" ht="12.75" hidden="false" customHeight="false" outlineLevel="0" collapsed="false">
      <c r="A18" s="1" t="n">
        <v>5135</v>
      </c>
      <c r="B18" s="2" t="s">
        <v>36</v>
      </c>
      <c r="C18" s="13" t="s">
        <v>34</v>
      </c>
      <c r="D18" s="2" t="n">
        <v>50</v>
      </c>
      <c r="E18" s="1" t="n">
        <v>1077</v>
      </c>
      <c r="F18" s="13" t="n">
        <f aca="false">E18+15</f>
        <v>1092</v>
      </c>
      <c r="G18" s="3" t="n">
        <f aca="false">'GEUS calibrations'!AA18</f>
        <v>1.17424348263433</v>
      </c>
      <c r="H18" s="4" t="n">
        <f aca="false">G18*E18/F18</f>
        <v>1.15811376446628</v>
      </c>
      <c r="I18" s="2" t="n">
        <v>998</v>
      </c>
      <c r="J18" s="3" t="n">
        <f aca="false">'Ørum&amp;Jensen calibrations'!J18</f>
        <v>0.44150392610698</v>
      </c>
      <c r="K18" s="4" t="n">
        <v>2.5</v>
      </c>
      <c r="L18" s="4" t="n">
        <f aca="false">J18*I18/F18*K18</f>
        <v>1.00874752347703</v>
      </c>
      <c r="M18" s="5" t="n">
        <f aca="false">H18/L18</f>
        <v>1.14807098655806</v>
      </c>
      <c r="N18" s="6" t="n">
        <f aca="false">100*(H18-L18)/L18</f>
        <v>14.8070986558064</v>
      </c>
    </row>
    <row r="19" customFormat="false" ht="12.75" hidden="false" customHeight="false" outlineLevel="0" collapsed="false">
      <c r="A19" s="1" t="n">
        <v>5136</v>
      </c>
      <c r="B19" s="2" t="s">
        <v>35</v>
      </c>
      <c r="C19" s="13" t="s">
        <v>35</v>
      </c>
      <c r="D19" s="2" t="n">
        <v>50</v>
      </c>
      <c r="E19" s="1" t="n">
        <v>1077</v>
      </c>
      <c r="F19" s="13" t="n">
        <f aca="false">E19+15</f>
        <v>1092</v>
      </c>
      <c r="G19" s="3" t="e">
        <f aca="false">'GEUS calibrations'!AA19</f>
        <v>#VALUE!</v>
      </c>
      <c r="H19" s="4" t="e">
        <f aca="false">G19*E19/F19</f>
        <v>#VALUE!</v>
      </c>
      <c r="I19" s="2" t="n">
        <v>998</v>
      </c>
      <c r="J19" s="3" t="n">
        <f aca="false">'Ørum&amp;Jensen calibrations'!J19</f>
        <v>0.444276825193393</v>
      </c>
      <c r="K19" s="4" t="n">
        <v>2.5</v>
      </c>
      <c r="L19" s="4" t="n">
        <f aca="false">J19*I19/F19*K19</f>
        <v>1.01508303924681</v>
      </c>
      <c r="M19" s="5" t="e">
        <f aca="false">H19/L19</f>
        <v>#VALUE!</v>
      </c>
      <c r="N19" s="6" t="e">
        <f aca="false">100*(H19-L19)/L19</f>
        <v>#VALUE!</v>
      </c>
    </row>
    <row r="20" customFormat="false" ht="12.75" hidden="false" customHeight="false" outlineLevel="0" collapsed="false">
      <c r="A20" s="1" t="n">
        <v>5137</v>
      </c>
      <c r="B20" s="2" t="s">
        <v>37</v>
      </c>
      <c r="C20" s="13" t="s">
        <v>34</v>
      </c>
      <c r="D20" s="2" t="n">
        <v>50</v>
      </c>
      <c r="E20" s="1" t="n">
        <v>1077</v>
      </c>
      <c r="F20" s="13" t="n">
        <f aca="false">E20+15</f>
        <v>1092</v>
      </c>
      <c r="G20" s="3" t="n">
        <f aca="false">'GEUS calibrations'!AA20</f>
        <v>1.18567445305554</v>
      </c>
      <c r="H20" s="4" t="n">
        <f aca="false">G20*E20/F20</f>
        <v>1.16938771606302</v>
      </c>
      <c r="I20" s="2" t="n">
        <v>998</v>
      </c>
      <c r="J20" s="3" t="n">
        <f aca="false">'Ørum&amp;Jensen calibrations'!J20</f>
        <v>0.437706634586402</v>
      </c>
      <c r="K20" s="4" t="n">
        <v>2.5</v>
      </c>
      <c r="L20" s="4" t="n">
        <f aca="false">J20*I20/F20*K20</f>
        <v>1.00007147737461</v>
      </c>
      <c r="M20" s="5" t="n">
        <f aca="false">H20/L20</f>
        <v>1.16930413727317</v>
      </c>
      <c r="N20" s="6" t="n">
        <f aca="false">100*(H20-L20)/L20</f>
        <v>16.9304137273168</v>
      </c>
    </row>
    <row r="21" customFormat="false" ht="12.75" hidden="false" customHeight="false" outlineLevel="0" collapsed="false">
      <c r="A21" s="1" t="n">
        <v>5138</v>
      </c>
      <c r="B21" s="2" t="s">
        <v>38</v>
      </c>
      <c r="C21" s="13" t="s">
        <v>34</v>
      </c>
      <c r="D21" s="2" t="n">
        <v>50</v>
      </c>
      <c r="E21" s="1" t="n">
        <v>1077</v>
      </c>
      <c r="F21" s="13" t="n">
        <f aca="false">E21+15</f>
        <v>1092</v>
      </c>
      <c r="G21" s="3" t="n">
        <f aca="false">'GEUS calibrations'!AA21</f>
        <v>1.12369373327135</v>
      </c>
      <c r="H21" s="4" t="n">
        <f aca="false">G21*E21/F21</f>
        <v>1.10825837979235</v>
      </c>
      <c r="I21" s="2" t="n">
        <v>998</v>
      </c>
      <c r="J21" s="3" t="n">
        <f aca="false">'Ørum&amp;Jensen calibrations'!J21</f>
        <v>0.439520777523471</v>
      </c>
      <c r="K21" s="4" t="n">
        <v>2.5</v>
      </c>
      <c r="L21" s="4" t="n">
        <f aca="false">J21*I21/F21*K21</f>
        <v>1.00421642849914</v>
      </c>
      <c r="M21" s="5" t="n">
        <f aca="false">H21/L21</f>
        <v>1.10360510776417</v>
      </c>
      <c r="N21" s="6" t="n">
        <f aca="false">100*(H21-L21)/L21</f>
        <v>10.3605107764173</v>
      </c>
    </row>
    <row r="22" customFormat="false" ht="12.75" hidden="false" customHeight="false" outlineLevel="0" collapsed="false">
      <c r="A22" s="1" t="n">
        <v>5154</v>
      </c>
      <c r="B22" s="2" t="s">
        <v>39</v>
      </c>
      <c r="C22" s="13" t="s">
        <v>40</v>
      </c>
      <c r="D22" s="2" t="n">
        <v>50</v>
      </c>
      <c r="E22" s="1" t="n">
        <v>1077</v>
      </c>
      <c r="F22" s="13" t="n">
        <f aca="false">E22+15</f>
        <v>1092</v>
      </c>
      <c r="G22" s="3" t="e">
        <f aca="false">'GEUS calibrations'!AA22</f>
        <v>#VALUE!</v>
      </c>
      <c r="H22" s="4" t="e">
        <f aca="false">G22*E22/F22</f>
        <v>#VALUE!</v>
      </c>
      <c r="I22" s="2" t="n">
        <v>998</v>
      </c>
      <c r="J22" s="3" t="n">
        <f aca="false">'Ørum&amp;Jensen calibrations'!J22</f>
        <v>0.432305810634677</v>
      </c>
      <c r="K22" s="4" t="n">
        <v>2.5</v>
      </c>
      <c r="L22" s="4" t="n">
        <f aca="false">J22*I22/F22*K22</f>
        <v>0.987731682723002</v>
      </c>
    </row>
    <row r="23" customFormat="false" ht="12.75" hidden="false" customHeight="false" outlineLevel="0" collapsed="false">
      <c r="A23" s="1" t="n">
        <v>5155</v>
      </c>
      <c r="D23" s="2" t="n">
        <v>50</v>
      </c>
      <c r="E23" s="1" t="n">
        <v>1077</v>
      </c>
      <c r="F23" s="13" t="n">
        <f aca="false">E23+15</f>
        <v>1092</v>
      </c>
      <c r="G23" s="3" t="e">
        <f aca="false">'GEUS calibrations'!AA23</f>
        <v>#VALUE!</v>
      </c>
      <c r="H23" s="4" t="e">
        <f aca="false">G23*E23/F23</f>
        <v>#VALUE!</v>
      </c>
      <c r="I23" s="2" t="n">
        <v>998</v>
      </c>
      <c r="J23" s="3" t="n">
        <f aca="false">'Ørum&amp;Jensen calibrations'!J23</f>
        <v>0.435804900601173</v>
      </c>
      <c r="K23" s="4" t="n">
        <v>2.5</v>
      </c>
      <c r="L23" s="4" t="n">
        <f aca="false">J23*I23/F23*K23</f>
        <v>0.995726398351581</v>
      </c>
    </row>
    <row r="24" customFormat="false" ht="12.75" hidden="false" customHeight="false" outlineLevel="0" collapsed="false">
      <c r="A24" s="1" t="n">
        <v>5156</v>
      </c>
      <c r="B24" s="2" t="s">
        <v>41</v>
      </c>
      <c r="C24" s="13" t="s">
        <v>40</v>
      </c>
      <c r="D24" s="2" t="n">
        <v>50</v>
      </c>
      <c r="E24" s="1" t="n">
        <v>1077</v>
      </c>
      <c r="F24" s="13" t="n">
        <f aca="false">E24+15</f>
        <v>1092</v>
      </c>
      <c r="G24" s="3" t="e">
        <f aca="false">'GEUS calibrations'!AA24</f>
        <v>#VALUE!</v>
      </c>
      <c r="H24" s="4" t="e">
        <f aca="false">G24*E24/F24</f>
        <v>#VALUE!</v>
      </c>
      <c r="I24" s="2" t="n">
        <v>998</v>
      </c>
      <c r="J24" s="3" t="n">
        <f aca="false">'Ørum&amp;Jensen calibrations'!J24</f>
        <v>0.429320141086466</v>
      </c>
      <c r="K24" s="4" t="n">
        <v>2.5</v>
      </c>
      <c r="L24" s="4" t="n">
        <f aca="false">J24*I24/F24*K24</f>
        <v>0.980910029313858</v>
      </c>
    </row>
    <row r="25" customFormat="false" ht="12.75" hidden="false" customHeight="false" outlineLevel="0" collapsed="false">
      <c r="A25" s="1" t="n">
        <v>5157</v>
      </c>
      <c r="D25" s="2" t="n">
        <v>50</v>
      </c>
      <c r="E25" s="1" t="n">
        <v>1077</v>
      </c>
      <c r="F25" s="13" t="n">
        <f aca="false">E25+15</f>
        <v>1092</v>
      </c>
      <c r="G25" s="3" t="e">
        <f aca="false">'GEUS calibrations'!AA25</f>
        <v>#VALUE!</v>
      </c>
      <c r="H25" s="4" t="e">
        <f aca="false">G25*E25/F25</f>
        <v>#VALUE!</v>
      </c>
      <c r="I25" s="2" t="n">
        <v>998</v>
      </c>
      <c r="J25" s="3" t="n">
        <f aca="false">'Ørum&amp;Jensen calibrations'!J25</f>
        <v>0.396178059059004</v>
      </c>
      <c r="K25" s="4" t="n">
        <v>2.5</v>
      </c>
      <c r="L25" s="4" t="n">
        <f aca="false">J25*I25/F25*K25</f>
        <v>0.905187048857341</v>
      </c>
    </row>
    <row r="26" customFormat="false" ht="12.75" hidden="false" customHeight="false" outlineLevel="0" collapsed="false">
      <c r="A26" s="15" t="n">
        <v>5158</v>
      </c>
      <c r="B26" s="14" t="s">
        <v>42</v>
      </c>
      <c r="C26" s="13" t="s">
        <v>43</v>
      </c>
      <c r="D26" s="2" t="n">
        <v>50</v>
      </c>
      <c r="E26" s="1" t="n">
        <v>1078</v>
      </c>
      <c r="F26" s="13" t="n">
        <f aca="false">E26+15</f>
        <v>1093</v>
      </c>
      <c r="G26" s="3" t="e">
        <f aca="false">'GEUS calibrations'!AA26</f>
        <v>#VALUE!</v>
      </c>
      <c r="H26" s="4" t="e">
        <f aca="false">G26*E26/F26</f>
        <v>#VALUE!</v>
      </c>
      <c r="I26" s="2" t="n">
        <v>998</v>
      </c>
      <c r="J26" s="3" t="n">
        <f aca="false">'Ørum&amp;Jensen calibrations'!J26</f>
        <v>0.4398963043963</v>
      </c>
      <c r="K26" s="4" t="n">
        <v>2.5</v>
      </c>
      <c r="L26" s="4" t="n">
        <f aca="false">J26*I26/F26*K26</f>
        <v>1.0041548760007</v>
      </c>
    </row>
    <row r="27" customFormat="false" ht="12.75" hidden="false" customHeight="false" outlineLevel="0" collapsed="false">
      <c r="A27" s="1" t="n">
        <v>5157</v>
      </c>
      <c r="B27" s="2" t="s">
        <v>44</v>
      </c>
      <c r="C27" s="13" t="s">
        <v>45</v>
      </c>
      <c r="D27" s="2" t="n">
        <v>50</v>
      </c>
      <c r="E27" s="1" t="n">
        <v>1077</v>
      </c>
      <c r="F27" s="13" t="n">
        <f aca="false">E27+15</f>
        <v>1092</v>
      </c>
      <c r="G27" s="3" t="n">
        <f aca="false">'GEUS calibrations'!AA27</f>
        <v>1.17432386317223</v>
      </c>
      <c r="H27" s="4" t="n">
        <f aca="false">G27*E27/F27</f>
        <v>1.15819304087591</v>
      </c>
      <c r="I27" s="2" t="n">
        <v>998</v>
      </c>
      <c r="J27" s="3" t="n">
        <f aca="false">'Ørum&amp;Jensen calibrations'!J3</f>
        <v>0.425272354474901</v>
      </c>
      <c r="K27" s="4" t="n">
        <v>2.5</v>
      </c>
      <c r="L27" s="4" t="n">
        <f aca="false">J27*I27/F27*K27</f>
        <v>0.971661652394577</v>
      </c>
      <c r="M27" s="5" t="n">
        <f aca="false">H27/L27</f>
        <v>1.19197154484963</v>
      </c>
      <c r="N27" s="6" t="n">
        <f aca="false">100*(H27-L27)/L27</f>
        <v>19.1971544849628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A27" activeCellId="0" sqref="AA27"/>
    </sheetView>
  </sheetViews>
  <sheetFormatPr defaultColWidth="8.88671875" defaultRowHeight="12.75" zeroHeight="false" outlineLevelRow="0" outlineLevelCol="0"/>
  <cols>
    <col collapsed="false" customWidth="true" hidden="false" outlineLevel="0" max="1" min="1" style="1" width="15.33"/>
    <col collapsed="false" customWidth="true" hidden="false" outlineLevel="0" max="2" min="2" style="16" width="12.33"/>
    <col collapsed="false" customWidth="true" hidden="false" outlineLevel="0" max="3" min="3" style="2" width="5.66"/>
    <col collapsed="false" customWidth="true" hidden="false" outlineLevel="0" max="4" min="4" style="1" width="5.66"/>
    <col collapsed="false" customWidth="true" hidden="false" outlineLevel="0" max="5" min="5" style="2" width="5.66"/>
    <col collapsed="false" customWidth="true" hidden="false" outlineLevel="0" max="15" min="6" style="1" width="5.66"/>
    <col collapsed="false" customWidth="true" hidden="false" outlineLevel="0" max="16" min="16" style="2" width="5.66"/>
    <col collapsed="false" customWidth="true" hidden="false" outlineLevel="0" max="26" min="17" style="1" width="5.66"/>
    <col collapsed="false" customWidth="true" hidden="false" outlineLevel="0" max="27" min="27" style="3" width="14"/>
    <col collapsed="false" customWidth="true" hidden="false" outlineLevel="0" max="29" min="28" style="4" width="9.67"/>
  </cols>
  <sheetData>
    <row r="1" s="7" customFormat="true" ht="12.75" hidden="false" customHeight="false" outlineLevel="0" collapsed="false">
      <c r="A1" s="7" t="s">
        <v>0</v>
      </c>
      <c r="B1" s="17" t="s">
        <v>46</v>
      </c>
      <c r="C1" s="8" t="s">
        <v>47</v>
      </c>
      <c r="D1" s="7" t="s">
        <v>48</v>
      </c>
      <c r="E1" s="8" t="s">
        <v>49</v>
      </c>
      <c r="P1" s="8" t="s">
        <v>50</v>
      </c>
      <c r="AA1" s="9" t="s">
        <v>51</v>
      </c>
      <c r="AB1" s="10" t="s">
        <v>52</v>
      </c>
      <c r="AC1" s="10" t="s">
        <v>53</v>
      </c>
    </row>
    <row r="2" customFormat="false" ht="12.75" hidden="false" customHeight="false" outlineLevel="0" collapsed="false">
      <c r="A2" s="1" t="s">
        <v>54</v>
      </c>
      <c r="B2" s="16" t="s">
        <v>55</v>
      </c>
      <c r="C2" s="2" t="n">
        <v>20</v>
      </c>
      <c r="D2" s="1" t="n">
        <v>1018</v>
      </c>
      <c r="E2" s="2" t="n">
        <v>1.1</v>
      </c>
      <c r="F2" s="1" t="n">
        <v>3.22</v>
      </c>
      <c r="G2" s="1" t="n">
        <v>6.42</v>
      </c>
      <c r="H2" s="1" t="n">
        <v>8.8</v>
      </c>
      <c r="I2" s="1" t="n">
        <v>11.14</v>
      </c>
      <c r="J2" s="1" t="n">
        <v>13.15</v>
      </c>
      <c r="K2" s="1" t="n">
        <v>15.2</v>
      </c>
      <c r="P2" s="2" t="n">
        <v>1.13</v>
      </c>
      <c r="Q2" s="1" t="n">
        <v>3.07</v>
      </c>
      <c r="R2" s="1" t="n">
        <v>6.02</v>
      </c>
      <c r="S2" s="1" t="n">
        <v>8.21</v>
      </c>
      <c r="T2" s="1" t="n">
        <v>10.47</v>
      </c>
      <c r="U2" s="1" t="n">
        <v>12.31</v>
      </c>
      <c r="V2" s="1" t="n">
        <v>14.19</v>
      </c>
      <c r="AA2" s="3" t="n">
        <f aca="false">INDEX(LINEST($E2:$K2,$P2:$V2,,TRUE()),1)</f>
        <v>1.0768513745802</v>
      </c>
      <c r="AB2" s="4" t="n">
        <f aca="false">INDEX(LINEST($E2:$K2,$P2:$V2,,TRUE()),2)</f>
        <v>0.00300032771043359</v>
      </c>
      <c r="AC2" s="4" t="n">
        <f aca="false">INDEX(LINEST($E2:$K2,$P2:$V2,,TRUE()),3)</f>
        <v>0.999961186840202</v>
      </c>
    </row>
    <row r="3" customFormat="false" ht="12.75" hidden="false" customHeight="false" outlineLevel="0" collapsed="false">
      <c r="A3" s="1" t="s">
        <v>56</v>
      </c>
      <c r="AA3" s="3" t="e">
        <f aca="false">INDEX(LINEST($E3:$O3,$P3:$Z3,,TRUE()),1)</f>
        <v>#VALUE!</v>
      </c>
      <c r="AB3" s="4" t="e">
        <f aca="false">INDEX(LINEST($E3:$O3,$P3:$Z3,,TRUE()),2)</f>
        <v>#VALUE!</v>
      </c>
      <c r="AC3" s="4" t="e">
        <f aca="false">INDEX(LINEST($E3:$O3,$P3:$Z3,,TRUE()),3)</f>
        <v>#VALUE!</v>
      </c>
    </row>
    <row r="4" customFormat="false" ht="12.75" hidden="false" customHeight="false" outlineLevel="0" collapsed="false">
      <c r="A4" s="1" t="s">
        <v>57</v>
      </c>
      <c r="AA4" s="3" t="e">
        <f aca="false">INDEX(LINEST($E4:$O4,$P4:$Z4,,TRUE()),1)</f>
        <v>#VALUE!</v>
      </c>
      <c r="AB4" s="4" t="e">
        <f aca="false">INDEX(LINEST($E4:$O4,$P4:$Z4,,TRUE()),2)</f>
        <v>#VALUE!</v>
      </c>
      <c r="AC4" s="4" t="e">
        <f aca="false">INDEX(LINEST($E4:$O4,$P4:$Z4,,TRUE()),3)</f>
        <v>#VALUE!</v>
      </c>
    </row>
    <row r="5" customFormat="false" ht="12.75" hidden="false" customHeight="false" outlineLevel="0" collapsed="false">
      <c r="A5" s="1" t="s">
        <v>58</v>
      </c>
      <c r="AA5" s="3" t="e">
        <f aca="false">INDEX(LINEST($E5:$O5,$P5:$Z5,,TRUE()),1)</f>
        <v>#VALUE!</v>
      </c>
      <c r="AB5" s="4" t="e">
        <f aca="false">INDEX(LINEST($E5:$O5,$P5:$Z5,,TRUE()),2)</f>
        <v>#VALUE!</v>
      </c>
      <c r="AC5" s="4" t="e">
        <f aca="false">INDEX(LINEST($E5:$O5,$P5:$Z5,,TRUE()),3)</f>
        <v>#VALUE!</v>
      </c>
    </row>
    <row r="6" customFormat="false" ht="12.75" hidden="false" customHeight="false" outlineLevel="0" collapsed="false">
      <c r="A6" s="1" t="s">
        <v>59</v>
      </c>
      <c r="B6" s="16" t="s">
        <v>60</v>
      </c>
      <c r="C6" s="2" t="n">
        <v>23</v>
      </c>
      <c r="D6" s="1" t="n">
        <v>1003</v>
      </c>
      <c r="E6" s="2" t="n">
        <v>0.58</v>
      </c>
      <c r="F6" s="1" t="n">
        <v>5.2</v>
      </c>
      <c r="G6" s="1" t="n">
        <v>10.07</v>
      </c>
      <c r="H6" s="1" t="n">
        <v>15.06</v>
      </c>
      <c r="I6" s="1" t="n">
        <v>18.6</v>
      </c>
      <c r="P6" s="2" t="n">
        <v>0.47</v>
      </c>
      <c r="Q6" s="1" t="n">
        <v>4.68</v>
      </c>
      <c r="R6" s="1" t="n">
        <v>8.85</v>
      </c>
      <c r="S6" s="1" t="n">
        <v>13.29</v>
      </c>
      <c r="T6" s="1" t="n">
        <v>16.44</v>
      </c>
      <c r="AA6" s="3" t="n">
        <f aca="false">INDEX(LINEST($E6:$I6,$P6:$T6,,TRUE()),1)</f>
        <v>1.13199902086912</v>
      </c>
      <c r="AB6" s="4" t="n">
        <f aca="false">INDEX(LINEST($E6:$I6,$P6:$T6,,TRUE()),2)</f>
        <v>0.00548426853982325</v>
      </c>
      <c r="AC6" s="4" t="n">
        <f aca="false">INDEX(LINEST($E6:$I6,$P6:$T6,,TRUE()),3)</f>
        <v>0.999929589732125</v>
      </c>
    </row>
    <row r="7" customFormat="false" ht="12.75" hidden="false" customHeight="false" outlineLevel="0" collapsed="false">
      <c r="A7" s="1" t="s">
        <v>61</v>
      </c>
      <c r="AA7" s="3" t="e">
        <f aca="false">INDEX(LINEST($E7:$O7,$P7:$Z7,,TRUE()),1)</f>
        <v>#VALUE!</v>
      </c>
      <c r="AB7" s="4" t="e">
        <f aca="false">INDEX(LINEST($E7:$O7,$P7:$Z7,,TRUE()),2)</f>
        <v>#VALUE!</v>
      </c>
      <c r="AC7" s="4" t="e">
        <f aca="false">INDEX(LINEST($E7:$O7,$P7:$Z7,,TRUE()),3)</f>
        <v>#VALUE!</v>
      </c>
    </row>
    <row r="8" customFormat="false" ht="12.75" hidden="false" customHeight="false" outlineLevel="0" collapsed="false">
      <c r="A8" s="1" t="s">
        <v>62</v>
      </c>
      <c r="AA8" s="3" t="e">
        <f aca="false">INDEX(LINEST($E8:$O8,$P8:$Z8,,TRUE()),1)</f>
        <v>#VALUE!</v>
      </c>
      <c r="AB8" s="4" t="e">
        <f aca="false">INDEX(LINEST($E8:$O8,$P8:$Z8,,TRUE()),2)</f>
        <v>#VALUE!</v>
      </c>
      <c r="AC8" s="4" t="e">
        <f aca="false">INDEX(LINEST($E8:$O8,$P8:$Z8,,TRUE()),3)</f>
        <v>#VALUE!</v>
      </c>
    </row>
    <row r="9" customFormat="false" ht="12.75" hidden="false" customHeight="false" outlineLevel="0" collapsed="false">
      <c r="A9" s="1" t="s">
        <v>63</v>
      </c>
      <c r="AA9" s="3" t="e">
        <f aca="false">INDEX(LINEST($E9:$O9,$P9:$Z9,,TRUE()),1)</f>
        <v>#VALUE!</v>
      </c>
      <c r="AB9" s="4" t="e">
        <f aca="false">INDEX(LINEST($E9:$O9,$P9:$Z9,,TRUE()),2)</f>
        <v>#VALUE!</v>
      </c>
      <c r="AC9" s="4" t="e">
        <f aca="false">INDEX(LINEST($E9:$O9,$P9:$Z9,,TRUE()),3)</f>
        <v>#VALUE!</v>
      </c>
    </row>
    <row r="10" customFormat="false" ht="12.75" hidden="false" customHeight="false" outlineLevel="0" collapsed="false">
      <c r="A10" s="1" t="s">
        <v>64</v>
      </c>
      <c r="AA10" s="3" t="e">
        <f aca="false">INDEX(LINEST($E10:$O10,$P10:$Z10,,TRUE()),1)</f>
        <v>#VALUE!</v>
      </c>
      <c r="AB10" s="4" t="e">
        <f aca="false">INDEX(LINEST($E10:$O10,$P10:$Z10,,TRUE()),2)</f>
        <v>#VALUE!</v>
      </c>
      <c r="AC10" s="4" t="e">
        <f aca="false">INDEX(LINEST($E10:$O10,$P10:$Z10,,TRUE()),3)</f>
        <v>#VALUE!</v>
      </c>
    </row>
    <row r="11" customFormat="false" ht="12.75" hidden="false" customHeight="false" outlineLevel="0" collapsed="false">
      <c r="A11" s="1" t="s">
        <v>65</v>
      </c>
      <c r="AA11" s="3" t="e">
        <f aca="false">INDEX(LINEST($E11:$O11,$P11:$Z11,,TRUE()),1)</f>
        <v>#VALUE!</v>
      </c>
      <c r="AB11" s="4" t="e">
        <f aca="false">INDEX(LINEST($E11:$O11,$P11:$Z11,,TRUE()),2)</f>
        <v>#VALUE!</v>
      </c>
      <c r="AC11" s="4" t="e">
        <f aca="false">INDEX(LINEST($E11:$O11,$P11:$Z11,,TRUE()),3)</f>
        <v>#VALUE!</v>
      </c>
    </row>
    <row r="12" customFormat="false" ht="12.75" hidden="false" customHeight="false" outlineLevel="0" collapsed="false">
      <c r="A12" s="1" t="s">
        <v>66</v>
      </c>
      <c r="B12" s="16" t="s">
        <v>67</v>
      </c>
      <c r="C12" s="2" t="s">
        <v>44</v>
      </c>
      <c r="D12" s="1" t="n">
        <v>1011</v>
      </c>
      <c r="E12" s="2" t="n">
        <v>5</v>
      </c>
      <c r="F12" s="1" t="n">
        <v>10</v>
      </c>
      <c r="G12" s="1" t="n">
        <v>15</v>
      </c>
      <c r="H12" s="1" t="n">
        <v>19</v>
      </c>
      <c r="P12" s="2" t="n">
        <v>4.24</v>
      </c>
      <c r="Q12" s="1" t="n">
        <v>8.67</v>
      </c>
      <c r="R12" s="1" t="n">
        <v>13.12</v>
      </c>
      <c r="S12" s="1" t="n">
        <v>16.8</v>
      </c>
      <c r="AA12" s="3" t="n">
        <f aca="false">INDEX(LINEST($E12:$H12,$P12:$S12,,TRUE()),1)</f>
        <v>1.11599166316862</v>
      </c>
      <c r="AB12" s="4" t="n">
        <f aca="false">INDEX(LINEST($E12:$H12,$P12:$S12,,TRUE()),2)</f>
        <v>0.00643201856880086</v>
      </c>
      <c r="AC12" s="4" t="n">
        <f aca="false">INDEX(LINEST($E12:$H12,$P12:$S12,,TRUE()),3)</f>
        <v>0.999933568536163</v>
      </c>
    </row>
    <row r="13" customFormat="false" ht="12.75" hidden="false" customHeight="false" outlineLevel="0" collapsed="false">
      <c r="A13" s="1" t="s">
        <v>68</v>
      </c>
      <c r="B13" s="16" t="s">
        <v>69</v>
      </c>
      <c r="C13" s="2" t="s">
        <v>44</v>
      </c>
      <c r="D13" s="1" t="n">
        <v>1002</v>
      </c>
      <c r="E13" s="2" t="n">
        <v>3.73</v>
      </c>
      <c r="F13" s="1" t="n">
        <v>7.16</v>
      </c>
      <c r="G13" s="1" t="n">
        <v>10.41</v>
      </c>
      <c r="H13" s="1" t="n">
        <v>14.54</v>
      </c>
      <c r="I13" s="1" t="n">
        <v>19.16</v>
      </c>
      <c r="P13" s="2" t="n">
        <v>3.59</v>
      </c>
      <c r="Q13" s="1" t="n">
        <v>6.69</v>
      </c>
      <c r="R13" s="1" t="n">
        <v>9.59</v>
      </c>
      <c r="S13" s="1" t="n">
        <v>13.33</v>
      </c>
      <c r="T13" s="1" t="n">
        <v>17.47</v>
      </c>
      <c r="AA13" s="3" t="n">
        <f aca="false">INDEX(LINEST($E13:$I13,$P13:$T13,,TRUE()),1)</f>
        <v>1.11161936848219</v>
      </c>
      <c r="AB13" s="4" t="n">
        <f aca="false">INDEX(LINEST($E13:$H13,$P13:$S13,,TRUE()),2)</f>
        <v>0.00216002080932676</v>
      </c>
      <c r="AC13" s="4" t="n">
        <f aca="false">INDEX(LINEST($E13:$H13,$P13:$S13,,TRUE()),3)</f>
        <v>0.999992436108833</v>
      </c>
    </row>
    <row r="14" customFormat="false" ht="12.75" hidden="false" customHeight="false" outlineLevel="0" collapsed="false">
      <c r="A14" s="1" t="s">
        <v>70</v>
      </c>
      <c r="B14" s="16" t="s">
        <v>67</v>
      </c>
      <c r="C14" s="2" t="s">
        <v>44</v>
      </c>
      <c r="D14" s="1" t="n">
        <v>1011</v>
      </c>
      <c r="E14" s="2" t="n">
        <v>5</v>
      </c>
      <c r="F14" s="1" t="n">
        <v>10</v>
      </c>
      <c r="G14" s="1" t="n">
        <v>15</v>
      </c>
      <c r="H14" s="1" t="n">
        <v>19</v>
      </c>
      <c r="P14" s="2" t="n">
        <v>4.56</v>
      </c>
      <c r="Q14" s="1" t="n">
        <v>9.03</v>
      </c>
      <c r="R14" s="1" t="n">
        <v>13.51</v>
      </c>
      <c r="S14" s="1" t="n">
        <v>17.09</v>
      </c>
      <c r="AA14" s="3" t="n">
        <f aca="false">INDEX(LINEST($E14:$H14,$P14:$S14,,TRUE()),1)</f>
        <v>1.1171914157731</v>
      </c>
      <c r="AB14" s="4" t="n">
        <f aca="false">INDEX(LINEST($E14:$H14,$P14:$S14,,TRUE()),2)</f>
        <v>0.000351895602114747</v>
      </c>
      <c r="AC14" s="4" t="n">
        <f aca="false">INDEX(LINEST($E14:$H14,$P14:$S14,,TRUE()),3)</f>
        <v>0.99999980157225</v>
      </c>
    </row>
    <row r="15" customFormat="false" ht="12.75" hidden="false" customHeight="false" outlineLevel="0" collapsed="false">
      <c r="A15" s="1" t="s">
        <v>71</v>
      </c>
      <c r="AA15" s="3" t="e">
        <f aca="false">INDEX(LINEST($E15:$O15,$P15:$Z15,,TRUE()),1)</f>
        <v>#VALUE!</v>
      </c>
      <c r="AB15" s="4" t="e">
        <f aca="false">INDEX(LINEST($E15:$O15,$P15:$Z15,,TRUE()),2)</f>
        <v>#VALUE!</v>
      </c>
      <c r="AC15" s="4" t="e">
        <f aca="false">INDEX(LINEST($E15:$O15,$P15:$Z15,,TRUE()),3)</f>
        <v>#VALUE!</v>
      </c>
    </row>
    <row r="16" customFormat="false" ht="12.75" hidden="false" customHeight="false" outlineLevel="0" collapsed="false">
      <c r="A16" s="1" t="s">
        <v>72</v>
      </c>
      <c r="B16" s="16" t="s">
        <v>73</v>
      </c>
      <c r="C16" s="2" t="s">
        <v>44</v>
      </c>
      <c r="D16" s="1" t="n">
        <v>1015</v>
      </c>
      <c r="E16" s="2" t="n">
        <v>1</v>
      </c>
      <c r="F16" s="1" t="n">
        <v>3</v>
      </c>
      <c r="G16" s="1" t="n">
        <v>6</v>
      </c>
      <c r="H16" s="1" t="n">
        <v>9.18</v>
      </c>
      <c r="I16" s="1" t="n">
        <v>10.6</v>
      </c>
      <c r="J16" s="1" t="n">
        <v>13.2</v>
      </c>
      <c r="K16" s="1" t="n">
        <v>17</v>
      </c>
      <c r="L16" s="1" t="n">
        <v>19.25</v>
      </c>
      <c r="P16" s="2" t="n">
        <v>1.12</v>
      </c>
      <c r="Q16" s="1" t="n">
        <v>2.8</v>
      </c>
      <c r="R16" s="1" t="n">
        <v>5.28</v>
      </c>
      <c r="S16" s="1" t="n">
        <v>8.01</v>
      </c>
      <c r="T16" s="1" t="n">
        <v>9.21</v>
      </c>
      <c r="U16" s="1" t="n">
        <v>11.42</v>
      </c>
      <c r="V16" s="1" t="n">
        <v>14.67</v>
      </c>
      <c r="W16" s="1" t="n">
        <v>16.59</v>
      </c>
      <c r="AA16" s="3" t="n">
        <f aca="false">INDEX(LINEST($E16:$L16,$P16:$W16,,TRUE()),1)</f>
        <v>1.17880156687622</v>
      </c>
      <c r="AB16" s="4" t="n">
        <f aca="false">INDEX(LINEST($E16:$L16,$P16:$W16,,TRUE()),2)</f>
        <v>0.00238959507459689</v>
      </c>
      <c r="AC16" s="4" t="n">
        <f aca="false">INDEX(LINEST($E16:$L16,$P16:$W16,,TRUE()),3)</f>
        <v>0.999975344843554</v>
      </c>
    </row>
    <row r="17" customFormat="false" ht="12.75" hidden="false" customHeight="false" outlineLevel="0" collapsed="false">
      <c r="A17" s="1" t="s">
        <v>74</v>
      </c>
      <c r="AA17" s="3" t="e">
        <f aca="false">INDEX(LINEST($E17:$N17,$P17:$Z17,,TRUE()),1)</f>
        <v>#VALUE!</v>
      </c>
      <c r="AB17" s="4" t="e">
        <f aca="false">INDEX(LINEST($E17:$N17,$P17:$Z17,,TRUE()),2)</f>
        <v>#VALUE!</v>
      </c>
      <c r="AC17" s="4" t="e">
        <f aca="false">INDEX(LINEST($E17:$N17,$P17:$Z17,,TRUE()),3)</f>
        <v>#VALUE!</v>
      </c>
    </row>
    <row r="18" customFormat="false" ht="12.75" hidden="false" customHeight="false" outlineLevel="0" collapsed="false">
      <c r="A18" s="1" t="s">
        <v>75</v>
      </c>
      <c r="B18" s="16" t="s">
        <v>76</v>
      </c>
      <c r="C18" s="2" t="s">
        <v>44</v>
      </c>
      <c r="D18" s="13" t="s">
        <v>44</v>
      </c>
      <c r="E18" s="2" t="n">
        <v>1</v>
      </c>
      <c r="F18" s="1" t="n">
        <v>3</v>
      </c>
      <c r="G18" s="1" t="n">
        <v>5</v>
      </c>
      <c r="H18" s="1" t="n">
        <v>7</v>
      </c>
      <c r="I18" s="1" t="n">
        <v>10</v>
      </c>
      <c r="J18" s="1" t="n">
        <v>13</v>
      </c>
      <c r="K18" s="1" t="n">
        <v>15</v>
      </c>
      <c r="L18" s="1" t="n">
        <v>17</v>
      </c>
      <c r="P18" s="2" t="n">
        <v>1.61</v>
      </c>
      <c r="Q18" s="1" t="n">
        <v>3.32</v>
      </c>
      <c r="R18" s="1" t="n">
        <v>5.07</v>
      </c>
      <c r="S18" s="1" t="n">
        <v>6.77</v>
      </c>
      <c r="T18" s="1" t="n">
        <v>9.32</v>
      </c>
      <c r="U18" s="1" t="n">
        <v>11.81</v>
      </c>
      <c r="V18" s="1" t="n">
        <v>13.56</v>
      </c>
      <c r="W18" s="1" t="n">
        <v>15.26</v>
      </c>
      <c r="AA18" s="3" t="n">
        <f aca="false">INDEX(LINEST($E18:$L18,$P18:$W18,,TRUE()),1)</f>
        <v>1.17424348263433</v>
      </c>
      <c r="AB18" s="4" t="n">
        <f aca="false">INDEX(LINEST($E18:$L18,$P18:$W18,,TRUE()),2)</f>
        <v>0.00253136612101004</v>
      </c>
      <c r="AC18" s="4" t="n">
        <f aca="false">INDEX(LINEST($E18:$L18,$P18:$W18,,TRUE()),3)</f>
        <v>0.999972117433232</v>
      </c>
    </row>
    <row r="19" customFormat="false" ht="12.75" hidden="false" customHeight="false" outlineLevel="0" collapsed="false">
      <c r="A19" s="1" t="s">
        <v>77</v>
      </c>
      <c r="AA19" s="3" t="e">
        <f aca="false">INDEX(LINEST($E19:$N19,$P19:$Z19,,TRUE()),1)</f>
        <v>#VALUE!</v>
      </c>
      <c r="AB19" s="4" t="e">
        <f aca="false">INDEX(LINEST($E19:$N19,$P19:$Z19,,TRUE()),2)</f>
        <v>#VALUE!</v>
      </c>
      <c r="AC19" s="4" t="e">
        <f aca="false">INDEX(LINEST($E19:$N19,$P19:$Z19,,TRUE()),3)</f>
        <v>#VALUE!</v>
      </c>
    </row>
    <row r="20" customFormat="false" ht="12.75" hidden="false" customHeight="false" outlineLevel="0" collapsed="false">
      <c r="A20" s="1" t="s">
        <v>78</v>
      </c>
      <c r="B20" s="16" t="s">
        <v>76</v>
      </c>
      <c r="C20" s="2" t="s">
        <v>44</v>
      </c>
      <c r="D20" s="13" t="s">
        <v>44</v>
      </c>
      <c r="E20" s="2" t="n">
        <v>1</v>
      </c>
      <c r="F20" s="1" t="n">
        <v>3</v>
      </c>
      <c r="G20" s="1" t="n">
        <v>5</v>
      </c>
      <c r="H20" s="1" t="n">
        <v>7</v>
      </c>
      <c r="I20" s="1" t="n">
        <v>10</v>
      </c>
      <c r="J20" s="1" t="n">
        <v>13</v>
      </c>
      <c r="K20" s="1" t="n">
        <v>15</v>
      </c>
      <c r="L20" s="1" t="n">
        <v>17</v>
      </c>
      <c r="P20" s="2" t="n">
        <v>1.62</v>
      </c>
      <c r="Q20" s="1" t="n">
        <v>3.25</v>
      </c>
      <c r="R20" s="1" t="n">
        <v>5.03</v>
      </c>
      <c r="S20" s="1" t="n">
        <v>6.69</v>
      </c>
      <c r="T20" s="1" t="n">
        <v>9.2</v>
      </c>
      <c r="U20" s="1" t="n">
        <v>11.72</v>
      </c>
      <c r="V20" s="1" t="n">
        <v>13.42</v>
      </c>
      <c r="W20" s="1" t="n">
        <v>15.11</v>
      </c>
      <c r="AA20" s="3" t="n">
        <f aca="false">INDEX(LINEST($E20:$L20,$P20:$W20,,TRUE()),1)</f>
        <v>1.18567445305554</v>
      </c>
      <c r="AB20" s="4" t="n">
        <f aca="false">INDEX(LINEST($E20:$L20,$P20:$W20,,TRUE()),2)</f>
        <v>0.00260990372074706</v>
      </c>
      <c r="AC20" s="4" t="n">
        <f aca="false">INDEX(LINEST($E20:$L20,$P20:$W20,,TRUE()),3)</f>
        <v>0.999970929220774</v>
      </c>
    </row>
    <row r="21" customFormat="false" ht="12.75" hidden="false" customHeight="false" outlineLevel="0" collapsed="false">
      <c r="A21" s="1" t="s">
        <v>79</v>
      </c>
      <c r="B21" s="16" t="s">
        <v>76</v>
      </c>
      <c r="C21" s="2" t="s">
        <v>44</v>
      </c>
      <c r="D21" s="13" t="s">
        <v>44</v>
      </c>
      <c r="E21" s="2" t="n">
        <v>1</v>
      </c>
      <c r="F21" s="1" t="n">
        <v>3</v>
      </c>
      <c r="G21" s="1" t="n">
        <v>5</v>
      </c>
      <c r="H21" s="1" t="n">
        <v>7</v>
      </c>
      <c r="I21" s="1" t="n">
        <v>10</v>
      </c>
      <c r="J21" s="1" t="n">
        <v>13</v>
      </c>
      <c r="K21" s="1" t="n">
        <v>15</v>
      </c>
      <c r="L21" s="1" t="n">
        <v>17</v>
      </c>
      <c r="P21" s="2" t="n">
        <v>1.85</v>
      </c>
      <c r="Q21" s="1" t="n">
        <v>3.64</v>
      </c>
      <c r="R21" s="1" t="n">
        <v>5.41</v>
      </c>
      <c r="S21" s="1" t="n">
        <v>7.2</v>
      </c>
      <c r="T21" s="1" t="n">
        <v>9.84</v>
      </c>
      <c r="U21" s="1" t="n">
        <v>12.51</v>
      </c>
      <c r="V21" s="1" t="n">
        <v>14.31</v>
      </c>
      <c r="W21" s="1" t="n">
        <v>16.11</v>
      </c>
      <c r="AA21" s="3" t="n">
        <f aca="false">INDEX(LINEST($E21:$L21,$P21:$W21,,TRUE()),1)</f>
        <v>1.12369373327135</v>
      </c>
      <c r="AB21" s="4" t="n">
        <f aca="false">INDEX(LINEST($E21:$L21,$P21:$W21,,TRUE()),2)</f>
        <v>0.00125246574517613</v>
      </c>
      <c r="AC21" s="4" t="n">
        <f aca="false">INDEX(LINEST($E21:$L21,$P21:$W21,,TRUE()),3)</f>
        <v>0.999992546095761</v>
      </c>
    </row>
    <row r="22" customFormat="false" ht="12.75" hidden="false" customHeight="false" outlineLevel="0" collapsed="false">
      <c r="A22" s="1" t="s">
        <v>80</v>
      </c>
      <c r="AA22" s="3" t="e">
        <f aca="false">INDEX(LINEST($E22:$O22,$P22:$Z22,,TRUE()),1)</f>
        <v>#VALUE!</v>
      </c>
      <c r="AB22" s="4" t="e">
        <f aca="false">INDEX(LINEST($E22:$O22,$P22:$Z22,,TRUE()),2)</f>
        <v>#VALUE!</v>
      </c>
      <c r="AC22" s="4" t="e">
        <f aca="false">INDEX(LINEST($E22:$O22,$P22:$Z22,,TRUE()),3)</f>
        <v>#VALUE!</v>
      </c>
    </row>
    <row r="23" customFormat="false" ht="12.75" hidden="false" customHeight="false" outlineLevel="0" collapsed="false">
      <c r="A23" s="1" t="s">
        <v>81</v>
      </c>
      <c r="AA23" s="3" t="e">
        <f aca="false">INDEX(LINEST($E23:$O23,$P23:$Z23,,TRUE()),1)</f>
        <v>#VALUE!</v>
      </c>
      <c r="AB23" s="4" t="e">
        <f aca="false">INDEX(LINEST($E23:$O23,$P23:$Z23,,TRUE()),2)</f>
        <v>#VALUE!</v>
      </c>
      <c r="AC23" s="4" t="e">
        <f aca="false">INDEX(LINEST($E23:$O23,$P23:$Z23,,TRUE()),3)</f>
        <v>#VALUE!</v>
      </c>
    </row>
    <row r="24" customFormat="false" ht="12.75" hidden="false" customHeight="false" outlineLevel="0" collapsed="false">
      <c r="A24" s="1" t="s">
        <v>82</v>
      </c>
      <c r="AA24" s="3" t="e">
        <f aca="false">INDEX(LINEST($E24:$O24,$P24:$Z24,,TRUE()),1)</f>
        <v>#VALUE!</v>
      </c>
      <c r="AB24" s="4" t="e">
        <f aca="false">INDEX(LINEST($E24:$O24,$P24:$Z24,,TRUE()),2)</f>
        <v>#VALUE!</v>
      </c>
      <c r="AC24" s="4" t="e">
        <f aca="false">INDEX(LINEST($E24:$O24,$P24:$Z24,,TRUE()),3)</f>
        <v>#VALUE!</v>
      </c>
    </row>
    <row r="25" customFormat="false" ht="12.75" hidden="false" customHeight="false" outlineLevel="0" collapsed="false">
      <c r="A25" s="1" t="s">
        <v>83</v>
      </c>
      <c r="AA25" s="3" t="e">
        <f aca="false">INDEX(LINEST($E25:$O25,$P25:$Z25,,TRUE()),1)</f>
        <v>#VALUE!</v>
      </c>
      <c r="AB25" s="4" t="e">
        <f aca="false">INDEX(LINEST($E25:$O25,$P25:$Z25,,TRUE()),2)</f>
        <v>#VALUE!</v>
      </c>
      <c r="AC25" s="4" t="e">
        <f aca="false">INDEX(LINEST($E25:$O25,$P25:$Z25,,TRUE()),3)</f>
        <v>#VALUE!</v>
      </c>
    </row>
    <row r="26" customFormat="false" ht="12.75" hidden="false" customHeight="false" outlineLevel="0" collapsed="false">
      <c r="A26" s="1" t="s">
        <v>84</v>
      </c>
      <c r="AA26" s="3" t="e">
        <f aca="false">INDEX(LINEST($E26:$O26,$P26:$Z26,,TRUE()),1)</f>
        <v>#VALUE!</v>
      </c>
      <c r="AB26" s="4" t="e">
        <f aca="false">INDEX(LINEST($E26:$O26,$P26:$Z26,,TRUE()),2)</f>
        <v>#VALUE!</v>
      </c>
      <c r="AC26" s="4" t="e">
        <f aca="false">INDEX(LINEST($E26:$O26,$P26:$Z26,,TRUE()),3)</f>
        <v>#VALUE!</v>
      </c>
    </row>
    <row r="27" customFormat="false" ht="12.75" hidden="false" customHeight="false" outlineLevel="0" collapsed="false">
      <c r="A27" s="1" t="s">
        <v>56</v>
      </c>
      <c r="B27" s="16" t="s">
        <v>85</v>
      </c>
      <c r="E27" s="2" t="n">
        <v>0</v>
      </c>
      <c r="F27" s="1" t="n">
        <v>1</v>
      </c>
      <c r="G27" s="1" t="n">
        <v>3</v>
      </c>
      <c r="H27" s="1" t="n">
        <v>5</v>
      </c>
      <c r="I27" s="1" t="n">
        <v>7</v>
      </c>
      <c r="J27" s="1" t="n">
        <v>9</v>
      </c>
      <c r="K27" s="1" t="n">
        <v>11</v>
      </c>
      <c r="L27" s="1" t="n">
        <v>13</v>
      </c>
      <c r="M27" s="1" t="n">
        <v>15</v>
      </c>
      <c r="N27" s="1" t="n">
        <v>17</v>
      </c>
      <c r="O27" s="1" t="n">
        <v>18.7</v>
      </c>
      <c r="P27" s="2" t="n">
        <v>0</v>
      </c>
      <c r="Q27" s="1" t="n">
        <v>0.6</v>
      </c>
      <c r="R27" s="1" t="n">
        <v>2.35</v>
      </c>
      <c r="S27" s="1" t="n">
        <v>4.05</v>
      </c>
      <c r="T27" s="1" t="n">
        <v>5.73</v>
      </c>
      <c r="U27" s="1" t="n">
        <v>7.52</v>
      </c>
      <c r="V27" s="1" t="n">
        <v>9.2</v>
      </c>
      <c r="W27" s="1" t="n">
        <v>10.88</v>
      </c>
      <c r="X27" s="1" t="n">
        <v>12.6</v>
      </c>
      <c r="Y27" s="1" t="n">
        <v>14.33</v>
      </c>
      <c r="Z27" s="1" t="n">
        <v>15.78</v>
      </c>
      <c r="AA27" s="3" t="n">
        <f aca="false">INDEX(LINEST($E27:$O27,$P27:$Z27,,TRUE()),1)</f>
        <v>1.17432386317223</v>
      </c>
      <c r="AB27" s="4" t="n">
        <f aca="false">INDEX(LINEST($E27:$O27,$P27:$Z27,,TRUE()),2)</f>
        <v>0.00474455088690875</v>
      </c>
      <c r="AC27" s="4" t="n">
        <f aca="false">INDEX(LINEST($E27:$O27,$P27:$Z27,,TRUE()),3)</f>
        <v>0.99985310968686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70"/>
  <sheetViews>
    <sheetView showFormulas="false" showGridLines="true" showRowColHeaders="true" showZeros="true" rightToLeft="false" tabSelected="true" showOutlineSymbols="true" defaultGridColor="true" view="normal" topLeftCell="R1" colorId="64" zoomScale="100" zoomScaleNormal="100" zoomScalePageLayoutView="100" workbookViewId="0">
      <pane xSplit="0" ySplit="1" topLeftCell="A112" activePane="bottomLeft" state="frozen"/>
      <selection pane="topLeft" activeCell="R1" activeCellId="0" sqref="R1"/>
      <selection pane="bottomLeft" activeCell="T135" activeCellId="0" sqref="T135"/>
    </sheetView>
  </sheetViews>
  <sheetFormatPr defaultColWidth="8.88671875" defaultRowHeight="12.75" zeroHeight="false" outlineLevelRow="0" outlineLevelCol="0"/>
  <cols>
    <col collapsed="false" customWidth="true" hidden="false" outlineLevel="0" max="1" min="1" style="1" width="16.67"/>
    <col collapsed="false" customWidth="true" hidden="false" outlineLevel="0" max="2" min="2" style="2" width="15.33"/>
    <col collapsed="false" customWidth="true" hidden="false" outlineLevel="0" max="3" min="3" style="1" width="17.33"/>
    <col collapsed="false" customWidth="false" hidden="false" outlineLevel="0" max="4" min="4" style="2" width="8.88"/>
    <col collapsed="false" customWidth="true" hidden="false" outlineLevel="0" max="10" min="10" style="5" width="9.67"/>
    <col collapsed="false" customWidth="true" hidden="false" outlineLevel="0" max="11" min="11" style="4" width="9.67"/>
    <col collapsed="false" customWidth="true" hidden="false" outlineLevel="0" max="12" min="12" style="1" width="9.67"/>
    <col collapsed="false" customWidth="true" hidden="false" outlineLevel="0" max="13" min="13" style="1" width="21.44"/>
    <col collapsed="false" customWidth="true" hidden="false" outlineLevel="0" max="18" min="14" style="1" width="21.88"/>
    <col collapsed="false" customWidth="true" hidden="false" outlineLevel="0" max="19" min="19" style="1" width="20.86"/>
    <col collapsed="false" customWidth="true" hidden="false" outlineLevel="0" max="20" min="20" style="1" width="16.67"/>
  </cols>
  <sheetData>
    <row r="1" s="7" customFormat="true" ht="12.75" hidden="false" customHeight="false" outlineLevel="0" collapsed="false">
      <c r="A1" s="7" t="s">
        <v>0</v>
      </c>
      <c r="B1" s="8" t="s">
        <v>47</v>
      </c>
      <c r="C1" s="7" t="s">
        <v>48</v>
      </c>
      <c r="D1" s="8" t="n">
        <v>0</v>
      </c>
      <c r="E1" s="7" t="n">
        <v>10</v>
      </c>
      <c r="F1" s="7" t="n">
        <v>20</v>
      </c>
      <c r="G1" s="7" t="n">
        <v>30</v>
      </c>
      <c r="H1" s="7" t="n">
        <v>40</v>
      </c>
      <c r="I1" s="7" t="n">
        <v>50</v>
      </c>
      <c r="J1" s="11" t="s">
        <v>51</v>
      </c>
      <c r="K1" s="10" t="s">
        <v>52</v>
      </c>
      <c r="L1" s="7" t="s">
        <v>53</v>
      </c>
      <c r="M1" s="7" t="s">
        <v>86</v>
      </c>
      <c r="N1" s="7" t="s">
        <v>87</v>
      </c>
      <c r="O1" s="7" t="s">
        <v>88</v>
      </c>
      <c r="P1" s="7" t="s">
        <v>89</v>
      </c>
      <c r="Q1" s="7" t="s">
        <v>90</v>
      </c>
      <c r="R1" s="7" t="s">
        <v>91</v>
      </c>
      <c r="S1" s="7" t="s">
        <v>92</v>
      </c>
      <c r="T1" s="7" t="s">
        <v>93</v>
      </c>
    </row>
    <row r="2" customFormat="false" ht="12.75" hidden="false" customHeight="false" outlineLevel="0" collapsed="false">
      <c r="A2" s="1" t="s">
        <v>94</v>
      </c>
      <c r="B2" s="2" t="n">
        <v>29</v>
      </c>
      <c r="C2" s="1" t="n">
        <v>1012</v>
      </c>
      <c r="D2" s="2" t="n">
        <v>1.12</v>
      </c>
      <c r="E2" s="1" t="n">
        <v>23.78</v>
      </c>
      <c r="F2" s="1" t="n">
        <v>46.43</v>
      </c>
      <c r="G2" s="1" t="n">
        <v>69.03</v>
      </c>
      <c r="H2" s="1" t="n">
        <v>91.59</v>
      </c>
      <c r="I2" s="1" t="n">
        <v>114.1</v>
      </c>
      <c r="J2" s="3" t="n">
        <f aca="false">INDEX(LINEST($D$1:$I$1,$D2:$I2,,TRUE()),1)</f>
        <v>0.442516300098237</v>
      </c>
      <c r="K2" s="4" t="n">
        <f aca="false">INDEX(LINEST($D$1:$I$1,$D2:$I2,,TRUE()),2)</f>
        <v>0.00028550368224159</v>
      </c>
      <c r="L2" s="4" t="n">
        <f aca="false">INDEX(LINEST($D$1:$I$1,$D2:$I2,,TRUE()),3)</f>
        <v>0.999998334961995</v>
      </c>
      <c r="N2" s="13" t="s">
        <v>20</v>
      </c>
      <c r="O2" s="18" t="s">
        <v>20</v>
      </c>
    </row>
    <row r="3" customFormat="false" ht="12.75" hidden="false" customHeight="false" outlineLevel="0" collapsed="false">
      <c r="A3" s="1" t="s">
        <v>95</v>
      </c>
      <c r="B3" s="2" t="n">
        <v>29</v>
      </c>
      <c r="C3" s="1" t="n">
        <v>1012</v>
      </c>
      <c r="D3" s="2" t="n">
        <v>0.75</v>
      </c>
      <c r="E3" s="1" t="n">
        <v>24.35</v>
      </c>
      <c r="F3" s="1" t="n">
        <v>47.92</v>
      </c>
      <c r="G3" s="1" t="n">
        <v>71.44</v>
      </c>
      <c r="H3" s="1" t="n">
        <v>94.91</v>
      </c>
      <c r="I3" s="1" t="n">
        <v>118.31</v>
      </c>
      <c r="J3" s="3" t="n">
        <f aca="false">INDEX(LINEST($D$1:$I$1,$D3:$I3,,TRUE()),1)</f>
        <v>0.425272354474901</v>
      </c>
      <c r="K3" s="4" t="n">
        <f aca="false">INDEX(LINEST($D$1:$I$1,$D3:$I3,,TRUE()),2)</f>
        <v>0.000331811580239858</v>
      </c>
      <c r="L3" s="4" t="n">
        <f aca="false">INDEX(LINEST($D$1:$I$1,$D3:$I3,,TRUE()),3)</f>
        <v>0.999997564950981</v>
      </c>
    </row>
    <row r="4" customFormat="false" ht="12.75" hidden="false" customHeight="false" outlineLevel="0" collapsed="false">
      <c r="A4" s="1" t="s">
        <v>96</v>
      </c>
      <c r="B4" s="2" t="n">
        <v>29</v>
      </c>
      <c r="C4" s="1" t="n">
        <v>1012</v>
      </c>
      <c r="D4" s="2" t="n">
        <v>0.44</v>
      </c>
      <c r="E4" s="1" t="n">
        <v>23.77</v>
      </c>
      <c r="F4" s="1" t="n">
        <v>47.06</v>
      </c>
      <c r="G4" s="1" t="n">
        <v>70.3</v>
      </c>
      <c r="H4" s="1" t="n">
        <v>93.48</v>
      </c>
      <c r="I4" s="1" t="n">
        <v>116.6</v>
      </c>
      <c r="J4" s="3" t="n">
        <f aca="false">INDEX(LINEST($D$1:$I$1,$D4:$I4,,TRUE()),1)</f>
        <v>0.430413095810383</v>
      </c>
      <c r="K4" s="4" t="n">
        <f aca="false">INDEX(LINEST($D$1:$I$1,$D4:$I4,,TRUE()),2)</f>
        <v>0.000360638667080102</v>
      </c>
      <c r="L4" s="4" t="n">
        <f aca="false">INDEX(LINEST($D$1:$I$1,$D4:$I4,,TRUE()),3)</f>
        <v>0.999997191771797</v>
      </c>
    </row>
    <row r="5" customFormat="false" ht="12.75" hidden="false" customHeight="false" outlineLevel="0" collapsed="false">
      <c r="A5" s="1" t="s">
        <v>97</v>
      </c>
      <c r="B5" s="2" t="n">
        <v>22.7</v>
      </c>
      <c r="C5" s="1" t="n">
        <v>1005.9</v>
      </c>
      <c r="D5" s="2" t="n">
        <v>0.54</v>
      </c>
      <c r="E5" s="1" t="n">
        <v>23.51</v>
      </c>
      <c r="F5" s="1" t="n">
        <v>46.45</v>
      </c>
      <c r="G5" s="1" t="n">
        <v>69.35</v>
      </c>
      <c r="H5" s="1" t="n">
        <v>92.19</v>
      </c>
      <c r="I5" s="1" t="n">
        <v>114.98</v>
      </c>
      <c r="J5" s="3" t="n">
        <f aca="false">INDEX(LINEST($D$1:$I$1,$D5:$I5,,TRUE()),1)</f>
        <v>0.436876483252755</v>
      </c>
      <c r="K5" s="4" t="n">
        <f aca="false">INDEX(LINEST($D$1:$I$1,$D5:$I5,,TRUE()),2)</f>
        <v>0.000324880500356193</v>
      </c>
      <c r="L5" s="4" t="n">
        <f aca="false">INDEX(LINEST($D$1:$I$1,$D5:$I5,,TRUE()),3)</f>
        <v>0.999997787980322</v>
      </c>
      <c r="M5" s="15" t="s">
        <v>14</v>
      </c>
      <c r="N5" s="15" t="s">
        <v>14</v>
      </c>
      <c r="O5" s="15" t="s">
        <v>14</v>
      </c>
      <c r="P5" s="15"/>
      <c r="Q5" s="15"/>
      <c r="R5" s="15"/>
      <c r="S5" s="15"/>
    </row>
    <row r="6" customFormat="false" ht="12.75" hidden="false" customHeight="false" outlineLevel="0" collapsed="false">
      <c r="A6" s="1" t="s">
        <v>98</v>
      </c>
      <c r="B6" s="2" t="n">
        <v>22.7</v>
      </c>
      <c r="C6" s="1" t="n">
        <v>1005.9</v>
      </c>
      <c r="D6" s="2" t="n">
        <v>0.45</v>
      </c>
      <c r="E6" s="1" t="n">
        <v>23.34</v>
      </c>
      <c r="F6" s="1" t="n">
        <v>46.18</v>
      </c>
      <c r="G6" s="1" t="n">
        <v>68.98</v>
      </c>
      <c r="H6" s="1" t="n">
        <v>91.72</v>
      </c>
      <c r="I6" s="1" t="n">
        <v>114.41</v>
      </c>
      <c r="J6" s="3" t="n">
        <f aca="false">INDEX(LINEST($D$1:$I$1,$D6:$I6,,TRUE()),1)</f>
        <v>0.438738311210403</v>
      </c>
      <c r="K6" s="4" t="n">
        <f aca="false">INDEX(LINEST($D$1:$I$1,$D6:$I6,,TRUE()),2)</f>
        <v>0.000351698443830143</v>
      </c>
      <c r="L6" s="4" t="n">
        <f aca="false">INDEX(LINEST($D$1:$I$1,$D6:$I6,,TRUE()),3)</f>
        <v>0.999997429671392</v>
      </c>
    </row>
    <row r="7" customFormat="false" ht="12.75" hidden="false" customHeight="false" outlineLevel="0" collapsed="false">
      <c r="A7" s="1" t="s">
        <v>99</v>
      </c>
      <c r="B7" s="2" t="n">
        <v>22</v>
      </c>
      <c r="C7" s="1" t="n">
        <v>1039.5</v>
      </c>
      <c r="D7" s="2" t="n">
        <v>0.645</v>
      </c>
      <c r="E7" s="1" t="n">
        <v>23.935</v>
      </c>
      <c r="F7" s="1" t="n">
        <v>47.196</v>
      </c>
      <c r="G7" s="1" t="n">
        <v>70.407</v>
      </c>
      <c r="H7" s="1" t="n">
        <v>93.566</v>
      </c>
      <c r="I7" s="1" t="n">
        <v>116.663</v>
      </c>
      <c r="J7" s="3" t="n">
        <f aca="false">INDEX(LINEST($D$1:$I$1,$D7:$I7,,TRUE()),1)</f>
        <v>0.430930492216645</v>
      </c>
      <c r="K7" s="4" t="n">
        <f aca="false">INDEX(LINEST($D$1:$I$1,$D7:$I7,,TRUE()),2)</f>
        <v>0.000333758897135359</v>
      </c>
      <c r="L7" s="4" t="n">
        <f aca="false">INDEX(LINEST($D$1:$I$1,$D7:$I7,,TRUE()),3)</f>
        <v>0.999997600558302</v>
      </c>
      <c r="P7" s="13" t="s">
        <v>20</v>
      </c>
    </row>
    <row r="8" customFormat="false" ht="12.75" hidden="false" customHeight="false" outlineLevel="0" collapsed="false">
      <c r="A8" s="1" t="s">
        <v>100</v>
      </c>
      <c r="B8" s="2" t="n">
        <v>22</v>
      </c>
      <c r="C8" s="1" t="n">
        <v>1039.5</v>
      </c>
      <c r="D8" s="2" t="n">
        <v>0.806</v>
      </c>
      <c r="E8" s="1" t="n">
        <v>24.078</v>
      </c>
      <c r="F8" s="1" t="n">
        <v>47.309</v>
      </c>
      <c r="G8" s="1" t="n">
        <v>70.483</v>
      </c>
      <c r="H8" s="1" t="n">
        <v>93.596</v>
      </c>
      <c r="I8" s="1" t="n">
        <v>116.638</v>
      </c>
      <c r="J8" s="3" t="n">
        <f aca="false">INDEX(LINEST($D$1:$I$1,$D8:$I8,,TRUE()),1)</f>
        <v>0.43162412994966</v>
      </c>
      <c r="K8" s="4" t="n">
        <f aca="false">INDEX(LINEST($D$1:$I$1,$D8:$I8,,TRUE()),2)</f>
        <v>0.000395003850495131</v>
      </c>
      <c r="L8" s="4" t="n">
        <f aca="false">INDEX(LINEST($D$1:$I$1,$D8:$I8,,TRUE()),3)</f>
        <v>0.999996649961772</v>
      </c>
      <c r="Q8" s="19" t="s">
        <v>101</v>
      </c>
      <c r="R8" s="15"/>
      <c r="S8" s="15"/>
    </row>
    <row r="9" customFormat="false" ht="12.75" hidden="false" customHeight="false" outlineLevel="0" collapsed="false">
      <c r="A9" s="1" t="s">
        <v>102</v>
      </c>
      <c r="B9" s="2" t="n">
        <v>22</v>
      </c>
      <c r="C9" s="1" t="n">
        <v>1039.5</v>
      </c>
      <c r="D9" s="2" t="n">
        <v>1.128</v>
      </c>
      <c r="E9" s="1" t="n">
        <v>24.246</v>
      </c>
      <c r="F9" s="1" t="n">
        <v>47.321</v>
      </c>
      <c r="G9" s="1" t="n">
        <v>70.346</v>
      </c>
      <c r="H9" s="1" t="n">
        <v>93.316</v>
      </c>
      <c r="I9" s="1" t="n">
        <v>116.23</v>
      </c>
      <c r="J9" s="3" t="n">
        <f aca="false">INDEX(LINEST($D$1:$I$1,$D9:$I9,,TRUE()),1)</f>
        <v>0.434379446399724</v>
      </c>
      <c r="K9" s="4" t="n">
        <f aca="false">INDEX(LINEST($D$1:$I$1,$D9:$I9,,TRUE()),2)</f>
        <v>0.000354598988790806</v>
      </c>
      <c r="L9" s="4" t="n">
        <f aca="false">INDEX(LINEST($D$1:$I$1,$D9:$I9,,TRUE()),3)</f>
        <v>0.999997334398131</v>
      </c>
    </row>
    <row r="10" customFormat="false" ht="12.75" hidden="false" customHeight="false" outlineLevel="0" collapsed="false">
      <c r="A10" s="15" t="s">
        <v>103</v>
      </c>
      <c r="B10" s="2" t="n">
        <v>22</v>
      </c>
      <c r="C10" s="1" t="n">
        <v>1003.5</v>
      </c>
      <c r="D10" s="2" t="n">
        <v>-1.655</v>
      </c>
      <c r="E10" s="1" t="n">
        <v>21.23</v>
      </c>
      <c r="F10" s="1" t="n">
        <v>44.06</v>
      </c>
      <c r="G10" s="1" t="n">
        <v>66.842</v>
      </c>
      <c r="H10" s="20" t="n">
        <v>89.582</v>
      </c>
      <c r="I10" s="1" t="n">
        <v>112.255</v>
      </c>
      <c r="J10" s="3" t="n">
        <f aca="false">INDEX(LINEST($D$1:$I$1,$D10:$I10,,TRUE()),1)</f>
        <v>0.438931954225042</v>
      </c>
      <c r="K10" s="4" t="n">
        <f aca="false">INDEX(LINEST($D$1:$I$1,$D10:$I10,,TRUE()),2)</f>
        <v>0.000357146618710304</v>
      </c>
      <c r="L10" s="4" t="n">
        <f aca="false">INDEX(LINEST($D$1:$I$1,$D10:$I10,,TRUE()),3)</f>
        <v>0.99999735175885</v>
      </c>
    </row>
    <row r="11" customFormat="false" ht="12.75" hidden="false" customHeight="false" outlineLevel="0" collapsed="false">
      <c r="A11" s="15" t="s">
        <v>104</v>
      </c>
      <c r="B11" s="2" t="n">
        <v>22</v>
      </c>
      <c r="C11" s="1" t="n">
        <v>1003.8</v>
      </c>
      <c r="D11" s="2" t="n">
        <v>-1.332</v>
      </c>
      <c r="E11" s="1" t="n">
        <v>21.605</v>
      </c>
      <c r="F11" s="1" t="n">
        <v>44.493</v>
      </c>
      <c r="G11" s="1" t="n">
        <v>67.362</v>
      </c>
      <c r="H11" s="20" t="n">
        <v>90.359</v>
      </c>
      <c r="I11" s="1" t="n">
        <v>112.935</v>
      </c>
      <c r="J11" s="3" t="n">
        <f aca="false">INDEX(LINEST($D$1:$I$1,$D11:$I11,,TRUE()),1)</f>
        <v>0.437243007281525</v>
      </c>
      <c r="K11" s="4" t="n">
        <f aca="false">INDEX(LINEST($D$1:$I$1,$D11:$I11,,TRUE()),2)</f>
        <v>0.000501121452226317</v>
      </c>
      <c r="L11" s="4" t="n">
        <f aca="false">INDEX(LINEST($D$1:$I$1,$D11:$I11,,TRUE()),3)</f>
        <v>0.999994745904608</v>
      </c>
    </row>
    <row r="12" customFormat="false" ht="12.75" hidden="false" customHeight="false" outlineLevel="0" collapsed="false">
      <c r="A12" s="15" t="s">
        <v>105</v>
      </c>
      <c r="B12" s="2" t="n">
        <v>22</v>
      </c>
      <c r="C12" s="1" t="n">
        <v>1003.5</v>
      </c>
      <c r="D12" s="2" t="n">
        <v>-1.346</v>
      </c>
      <c r="E12" s="1" t="n">
        <v>21.363</v>
      </c>
      <c r="F12" s="1" t="n">
        <v>44.035</v>
      </c>
      <c r="G12" s="1" t="n">
        <v>66.665</v>
      </c>
      <c r="H12" s="1" t="n">
        <v>89.242</v>
      </c>
      <c r="I12" s="1" t="n">
        <v>111.758</v>
      </c>
      <c r="J12" s="3" t="n">
        <f aca="false">INDEX(LINEST($D$1:$I$1,$D12:$I12,,TRUE()),1)</f>
        <v>0.442037003988918</v>
      </c>
      <c r="K12" s="4" t="n">
        <f aca="false">INDEX(LINEST($D$1:$I$1,$D12:$I12,,TRUE()),2)</f>
        <v>0.000343768213204644</v>
      </c>
      <c r="L12" s="4" t="n">
        <f aca="false">INDEX(LINEST($D$1:$I$1,$D12:$I12,,TRUE()),3)</f>
        <v>0.999997580792496</v>
      </c>
    </row>
    <row r="13" customFormat="false" ht="12.75" hidden="false" customHeight="false" outlineLevel="0" collapsed="false">
      <c r="A13" s="15" t="s">
        <v>106</v>
      </c>
      <c r="B13" s="2" t="n">
        <v>25</v>
      </c>
      <c r="C13" s="1" t="n">
        <v>1002.7</v>
      </c>
      <c r="D13" s="2" t="n">
        <v>-0.085</v>
      </c>
      <c r="E13" s="1" t="n">
        <v>22.556</v>
      </c>
      <c r="F13" s="1" t="n">
        <v>45.155</v>
      </c>
      <c r="G13" s="1" t="n">
        <v>67.711</v>
      </c>
      <c r="H13" s="1" t="n">
        <v>90.214</v>
      </c>
      <c r="I13" s="1" t="n">
        <v>112.673</v>
      </c>
      <c r="J13" s="3" t="n">
        <f aca="false">INDEX(LINEST($D$1:$I$1,$D13:$I13,,TRUE()),1)</f>
        <v>0.443418658478478</v>
      </c>
      <c r="K13" s="4" t="n">
        <f aca="false">INDEX(LINEST($D$1:$I$1,$D13:$I13,,TRUE()),2)</f>
        <v>0.000331928141547616</v>
      </c>
      <c r="L13" s="4" t="n">
        <f aca="false">INDEX(LINEST($D$1:$I$1,$D13:$I13,,TRUE()),3)</f>
        <v>0.999997758600663</v>
      </c>
    </row>
    <row r="14" customFormat="false" ht="12.75" hidden="false" customHeight="false" outlineLevel="0" collapsed="false">
      <c r="A14" s="15" t="s">
        <v>107</v>
      </c>
      <c r="B14" s="2" t="n">
        <v>25</v>
      </c>
      <c r="C14" s="1" t="n">
        <v>1002.7</v>
      </c>
      <c r="D14" s="2" t="n">
        <v>-0.008</v>
      </c>
      <c r="E14" s="1" t="n">
        <v>22.645</v>
      </c>
      <c r="F14" s="1" t="n">
        <v>45.262</v>
      </c>
      <c r="G14" s="1" t="n">
        <v>67.835</v>
      </c>
      <c r="H14" s="1" t="n">
        <v>90.362</v>
      </c>
      <c r="I14" s="1" t="n">
        <v>112.831</v>
      </c>
      <c r="J14" s="3" t="n">
        <f aca="false">INDEX(LINEST($D$1:$I$1,$D14:$I14,,TRUE()),1)</f>
        <v>0.443082431436414</v>
      </c>
      <c r="K14" s="4" t="n">
        <f aca="false">INDEX(LINEST($D$1:$I$1,$D14:$I14,,TRUE()),2)</f>
        <v>0.000328351942595502</v>
      </c>
      <c r="L14" s="4" t="n">
        <f aca="false">INDEX(LINEST($D$1:$I$1,$D14:$I14,,TRUE()),3)</f>
        <v>0.999997803308059</v>
      </c>
      <c r="M14" s="15" t="s">
        <v>38</v>
      </c>
      <c r="N14" s="15"/>
      <c r="O14" s="15"/>
      <c r="P14" s="15"/>
      <c r="Q14" s="15"/>
      <c r="R14" s="15"/>
      <c r="S14" s="15"/>
    </row>
    <row r="15" customFormat="false" ht="12.75" hidden="false" customHeight="false" outlineLevel="0" collapsed="false">
      <c r="A15" s="1" t="s">
        <v>108</v>
      </c>
      <c r="B15" s="2" t="n">
        <v>24</v>
      </c>
      <c r="C15" s="1" t="n">
        <v>1025.5</v>
      </c>
      <c r="D15" s="2" t="n">
        <v>0.206</v>
      </c>
      <c r="E15" s="1" t="n">
        <v>24.355</v>
      </c>
      <c r="F15" s="1" t="n">
        <v>48.464</v>
      </c>
      <c r="G15" s="1" t="n">
        <v>72.514</v>
      </c>
      <c r="H15" s="1" t="n">
        <v>96.498</v>
      </c>
      <c r="I15" s="1" t="n">
        <v>120.415</v>
      </c>
      <c r="J15" s="3" t="n">
        <f aca="false">INDEX(LINEST($D$1:$I$1,$D15:$I15,,TRUE()),1)</f>
        <v>0.415910728616972</v>
      </c>
      <c r="K15" s="4" t="n">
        <f aca="false">INDEX(LINEST($D$1:$I$1,$D15:$I15,,TRUE()),2)</f>
        <v>0.000375311089469859</v>
      </c>
      <c r="L15" s="4" t="n">
        <f aca="false">INDEX(LINEST($D$1:$I$1,$D15:$I15,,TRUE()),3)</f>
        <v>0.999996742824767</v>
      </c>
    </row>
    <row r="16" customFormat="false" ht="12.75" hidden="false" customHeight="false" outlineLevel="0" collapsed="false">
      <c r="A16" s="1" t="s">
        <v>109</v>
      </c>
      <c r="B16" s="2" t="n">
        <v>24</v>
      </c>
      <c r="C16" s="1" t="n">
        <v>1022.1</v>
      </c>
      <c r="D16" s="2" t="n">
        <v>0.329</v>
      </c>
      <c r="E16" s="1" t="n">
        <v>22.652</v>
      </c>
      <c r="F16" s="1" t="n">
        <v>44.95</v>
      </c>
      <c r="G16" s="1" t="n">
        <v>67.215</v>
      </c>
      <c r="H16" s="1" t="n">
        <v>89.435</v>
      </c>
      <c r="I16" s="1" t="n">
        <v>111.608</v>
      </c>
      <c r="J16" s="3" t="n">
        <f aca="false">INDEX(LINEST($D$1:$I$1,$D16:$I16,,TRUE()),1)</f>
        <v>0.449288073786312</v>
      </c>
      <c r="K16" s="4" t="n">
        <f aca="false">INDEX(LINEST($D$1:$I$1,$D16:$I16,,TRUE()),2)</f>
        <v>0.000280818820525028</v>
      </c>
      <c r="L16" s="4" t="n">
        <f aca="false">INDEX(LINEST($D$1:$I$1,$D16:$I16,,TRUE()),3)</f>
        <v>0.999998437349147</v>
      </c>
    </row>
    <row r="17" customFormat="false" ht="12.75" hidden="false" customHeight="false" outlineLevel="0" collapsed="false">
      <c r="A17" s="1" t="s">
        <v>110</v>
      </c>
      <c r="B17" s="2" t="n">
        <v>24</v>
      </c>
      <c r="C17" s="1" t="n">
        <v>1022.1</v>
      </c>
      <c r="D17" s="2" t="n">
        <v>0.015</v>
      </c>
      <c r="E17" s="1" t="n">
        <v>22.613</v>
      </c>
      <c r="F17" s="1" t="n">
        <v>45.178</v>
      </c>
      <c r="G17" s="1" t="n">
        <v>67.704</v>
      </c>
      <c r="H17" s="1" t="n">
        <v>90.185</v>
      </c>
      <c r="I17" s="1" t="n">
        <v>112.615</v>
      </c>
      <c r="J17" s="3" t="n">
        <f aca="false">INDEX(LINEST($D$1:$I$1,$D17:$I17,,TRUE()),1)</f>
        <v>0.444025246358821</v>
      </c>
      <c r="K17" s="4" t="n">
        <f aca="false">INDEX(LINEST($D$1:$I$1,$D17:$I17,,TRUE()),2)</f>
        <v>0.000302961734752534</v>
      </c>
      <c r="L17" s="4" t="n">
        <f aca="false">INDEX(LINEST($D$1:$I$1,$D17:$I17,,TRUE()),3)</f>
        <v>0.999998137829628</v>
      </c>
    </row>
    <row r="18" customFormat="false" ht="12.75" hidden="false" customHeight="false" outlineLevel="0" collapsed="false">
      <c r="A18" s="1" t="s">
        <v>111</v>
      </c>
      <c r="B18" s="2" t="n">
        <v>24</v>
      </c>
      <c r="C18" s="1" t="n">
        <v>1022.1</v>
      </c>
      <c r="D18" s="2" t="n">
        <v>-0.056</v>
      </c>
      <c r="E18" s="1" t="n">
        <v>22.682</v>
      </c>
      <c r="F18" s="1" t="n">
        <v>45.382</v>
      </c>
      <c r="G18" s="1" t="n">
        <v>68.038</v>
      </c>
      <c r="H18" s="1" t="n">
        <v>90.641</v>
      </c>
      <c r="I18" s="1" t="n">
        <v>113.186</v>
      </c>
      <c r="J18" s="3" t="n">
        <f aca="false">INDEX(LINEST($D$1:$I$1,$D18:$I18,,TRUE()),1)</f>
        <v>0.44150392610698</v>
      </c>
      <c r="K18" s="4" t="n">
        <f aca="false">INDEX(LINEST($D$1:$I$1,$D18:$I18,,TRUE()),2)</f>
        <v>0.000344645509234103</v>
      </c>
      <c r="L18" s="4" t="n">
        <f aca="false">INDEX(LINEST($D$1:$I$1,$D18:$I18,,TRUE()),3)</f>
        <v>0.999997562553788</v>
      </c>
    </row>
    <row r="19" customFormat="false" ht="12.75" hidden="false" customHeight="false" outlineLevel="0" collapsed="false">
      <c r="A19" s="1" t="s">
        <v>112</v>
      </c>
      <c r="B19" s="2" t="n">
        <v>31.5</v>
      </c>
      <c r="C19" s="1" t="n">
        <v>1023.5</v>
      </c>
      <c r="D19" s="2" t="n">
        <v>0.58</v>
      </c>
      <c r="E19" s="1" t="n">
        <v>23.23</v>
      </c>
      <c r="F19" s="1" t="n">
        <v>45.86</v>
      </c>
      <c r="G19" s="1" t="n">
        <v>68.49</v>
      </c>
      <c r="H19" s="1" t="n">
        <v>90.05</v>
      </c>
      <c r="I19" s="1" t="n">
        <v>113.51</v>
      </c>
      <c r="J19" s="3" t="n">
        <f aca="false">INDEX(LINEST($D$1:$I$1,$D19:$I19,,TRUE()),1)</f>
        <v>0.444276825193393</v>
      </c>
      <c r="K19" s="4" t="n">
        <f aca="false">INDEX(LINEST($D$1:$I$1,$D19:$I19,,TRUE()),2)</f>
        <v>0.0018914613651561</v>
      </c>
      <c r="L19" s="4" t="n">
        <f aca="false">INDEX(LINEST($D$1:$I$1,$D19:$I19,,TRUE()),3)</f>
        <v>0.999927503650981</v>
      </c>
      <c r="M19" s="15" t="s">
        <v>42</v>
      </c>
      <c r="N19" s="19" t="s">
        <v>42</v>
      </c>
      <c r="O19" s="15"/>
      <c r="P19" s="15"/>
    </row>
    <row r="20" customFormat="false" ht="12.75" hidden="false" customHeight="false" outlineLevel="0" collapsed="false">
      <c r="A20" s="1" t="s">
        <v>113</v>
      </c>
      <c r="B20" s="2" t="n">
        <v>31.5</v>
      </c>
      <c r="C20" s="1" t="n">
        <v>1023.5</v>
      </c>
      <c r="D20" s="2" t="n">
        <v>0.02</v>
      </c>
      <c r="E20" s="1" t="n">
        <v>22.94</v>
      </c>
      <c r="F20" s="1" t="n">
        <v>45.82</v>
      </c>
      <c r="G20" s="1" t="n">
        <v>68.69</v>
      </c>
      <c r="H20" s="1" t="n">
        <v>91.54</v>
      </c>
      <c r="I20" s="1" t="n">
        <v>114.21</v>
      </c>
      <c r="J20" s="3" t="n">
        <f aca="false">INDEX(LINEST($D$1:$I$1,$D20:$I20,,TRUE()),1)</f>
        <v>0.437706634586402</v>
      </c>
      <c r="K20" s="4" t="n">
        <f aca="false">INDEX(LINEST($D$1:$I$1,$D20:$I20,,TRUE()),2)</f>
        <v>0.000373767160731521</v>
      </c>
      <c r="L20" s="4" t="n">
        <f aca="false">INDEX(LINEST($D$1:$I$1,$D20:$I20,,TRUE()),3)</f>
        <v>0.99999708327994</v>
      </c>
    </row>
    <row r="21" customFormat="false" ht="12.75" hidden="false" customHeight="false" outlineLevel="0" collapsed="false">
      <c r="A21" s="1" t="s">
        <v>114</v>
      </c>
      <c r="B21" s="2" t="n">
        <v>27.6</v>
      </c>
      <c r="C21" s="1" t="n">
        <v>1008.6</v>
      </c>
      <c r="D21" s="2" t="n">
        <v>0.08</v>
      </c>
      <c r="E21" s="1" t="n">
        <v>22.89</v>
      </c>
      <c r="F21" s="1" t="n">
        <v>45.68</v>
      </c>
      <c r="G21" s="1" t="n">
        <v>68.48</v>
      </c>
      <c r="H21" s="1" t="n">
        <v>91.18</v>
      </c>
      <c r="I21" s="1" t="n">
        <v>113.81</v>
      </c>
      <c r="J21" s="3" t="n">
        <f aca="false">INDEX(LINEST($D$1:$I$1,$D21:$I21,,TRUE()),1)</f>
        <v>0.439520777523471</v>
      </c>
      <c r="K21" s="4" t="n">
        <f aca="false">INDEX(LINEST($D$1:$I$1,$D21:$I21,,TRUE()),2)</f>
        <v>0.000335232499030419</v>
      </c>
      <c r="L21" s="4" t="n">
        <f aca="false">INDEX(LINEST($D$1:$I$1,$D21:$I21,,TRUE()),3)</f>
        <v>0.999997673021401</v>
      </c>
      <c r="M21" s="13" t="s">
        <v>32</v>
      </c>
    </row>
    <row r="22" customFormat="false" ht="12.75" hidden="false" customHeight="false" outlineLevel="0" collapsed="false">
      <c r="A22" s="1" t="s">
        <v>115</v>
      </c>
      <c r="B22" s="2" t="n">
        <v>24.9</v>
      </c>
      <c r="C22" s="1" t="n">
        <v>999.9</v>
      </c>
      <c r="D22" s="2" t="n">
        <v>-0.19</v>
      </c>
      <c r="E22" s="1" t="n">
        <v>23</v>
      </c>
      <c r="F22" s="1" t="n">
        <v>46.18</v>
      </c>
      <c r="G22" s="1" t="n">
        <v>69.34</v>
      </c>
      <c r="H22" s="1" t="n">
        <v>92.45</v>
      </c>
      <c r="I22" s="1" t="n">
        <v>115.43</v>
      </c>
      <c r="J22" s="3" t="n">
        <f aca="false">INDEX(LINEST($D$1:$I$1,$D22:$I22,,TRUE()),1)</f>
        <v>0.432305810634677</v>
      </c>
      <c r="K22" s="4" t="n">
        <f aca="false">INDEX(LINEST($D$1:$I$1,$D22:$I22,,TRUE()),2)</f>
        <v>0.000345198352683434</v>
      </c>
      <c r="L22" s="4" t="n">
        <f aca="false">INDEX(LINEST($D$1:$I$1,$D22:$I22,,TRUE()),3)</f>
        <v>0.999997449565545</v>
      </c>
      <c r="N22" s="13" t="s">
        <v>38</v>
      </c>
      <c r="O22" s="13" t="s">
        <v>38</v>
      </c>
    </row>
    <row r="23" customFormat="false" ht="12.75" hidden="false" customHeight="false" outlineLevel="0" collapsed="false">
      <c r="A23" s="1" t="s">
        <v>116</v>
      </c>
      <c r="B23" s="2" t="n">
        <v>24.9</v>
      </c>
      <c r="C23" s="1" t="n">
        <v>999.9</v>
      </c>
      <c r="D23" s="2" t="n">
        <v>-0.2</v>
      </c>
      <c r="E23" s="1" t="n">
        <v>22.81</v>
      </c>
      <c r="F23" s="1" t="n">
        <v>45.79</v>
      </c>
      <c r="G23" s="1" t="n">
        <v>68.76</v>
      </c>
      <c r="H23" s="1" t="n">
        <v>91.69</v>
      </c>
      <c r="I23" s="1" t="n">
        <v>114.5</v>
      </c>
      <c r="J23" s="3" t="n">
        <f aca="false">INDEX(LINEST($D$1:$I$1,$D23:$I23,,TRUE()),1)</f>
        <v>0.435804900601173</v>
      </c>
      <c r="K23" s="4" t="n">
        <f aca="false">INDEX(LINEST($D$1:$I$1,$D23:$I23,,TRUE()),2)</f>
        <v>0.000313891853323945</v>
      </c>
      <c r="L23" s="4" t="n">
        <f aca="false">INDEX(LINEST($D$1:$I$1,$D23:$I23,,TRUE()),3)</f>
        <v>0.999997924919451</v>
      </c>
      <c r="M23" s="19" t="s">
        <v>20</v>
      </c>
      <c r="N23" s="15"/>
      <c r="O23" s="15"/>
      <c r="P23" s="15" t="s">
        <v>101</v>
      </c>
      <c r="Q23" s="15"/>
      <c r="R23" s="15"/>
      <c r="S23" s="15"/>
    </row>
    <row r="24" customFormat="false" ht="12.75" hidden="false" customHeight="false" outlineLevel="0" collapsed="false">
      <c r="A24" s="1" t="s">
        <v>117</v>
      </c>
      <c r="B24" s="2" t="n">
        <v>24.9</v>
      </c>
      <c r="C24" s="1" t="n">
        <v>998.8</v>
      </c>
      <c r="D24" s="2" t="n">
        <v>-0.18</v>
      </c>
      <c r="E24" s="1" t="n">
        <v>23.18</v>
      </c>
      <c r="F24" s="1" t="n">
        <v>46.52</v>
      </c>
      <c r="G24" s="1" t="n">
        <v>69.84</v>
      </c>
      <c r="H24" s="1" t="n">
        <v>93.12</v>
      </c>
      <c r="I24" s="1" t="n">
        <v>116.24</v>
      </c>
      <c r="J24" s="3" t="n">
        <f aca="false">INDEX(LINEST($D$1:$I$1,$D24:$I24,,TRUE()),1)</f>
        <v>0.429320141086466</v>
      </c>
      <c r="K24" s="4" t="n">
        <f aca="false">INDEX(LINEST($D$1:$I$1,$D24:$I24,,TRUE()),2)</f>
        <v>0.000371480455107351</v>
      </c>
      <c r="L24" s="4" t="n">
        <f aca="false">INDEX(LINEST($D$1:$I$1,$D24:$I24,,TRUE()),3)</f>
        <v>0.999997005198088</v>
      </c>
    </row>
    <row r="25" customFormat="false" ht="12.75" hidden="false" customHeight="false" outlineLevel="0" collapsed="false">
      <c r="A25" s="1" t="s">
        <v>118</v>
      </c>
      <c r="B25" s="2" t="n">
        <v>25.3</v>
      </c>
      <c r="C25" s="1" t="n">
        <v>1013.5</v>
      </c>
      <c r="D25" s="2" t="n">
        <v>-0.33</v>
      </c>
      <c r="E25" s="1" t="n">
        <v>24.95</v>
      </c>
      <c r="F25" s="1" t="n">
        <v>50.22</v>
      </c>
      <c r="G25" s="1" t="n">
        <v>75.5</v>
      </c>
      <c r="H25" s="1" t="n">
        <v>100.72</v>
      </c>
      <c r="I25" s="1" t="n">
        <v>125.84</v>
      </c>
      <c r="J25" s="3" t="n">
        <f aca="false">INDEX(LINEST($D$1:$I$1,$D25:$I25,,TRUE()),1)</f>
        <v>0.396178059059004</v>
      </c>
      <c r="K25" s="4" t="n">
        <f aca="false">INDEX(LINEST($D$1:$I$1,$D25:$I25,,TRUE()),2)</f>
        <v>0.000225981672019222</v>
      </c>
      <c r="L25" s="4" t="n">
        <f aca="false">INDEX(LINEST($D$1:$I$1,$D25:$I25,,TRUE()),3)</f>
        <v>0.999998698557391</v>
      </c>
    </row>
    <row r="26" customFormat="false" ht="12.75" hidden="false" customHeight="false" outlineLevel="0" collapsed="false">
      <c r="A26" s="1" t="s">
        <v>119</v>
      </c>
      <c r="B26" s="2" t="n">
        <v>25.3</v>
      </c>
      <c r="C26" s="1" t="n">
        <v>1013.5</v>
      </c>
      <c r="D26" s="2" t="n">
        <v>0.06</v>
      </c>
      <c r="E26" s="1" t="n">
        <v>22.87</v>
      </c>
      <c r="F26" s="1" t="n">
        <v>45.65</v>
      </c>
      <c r="G26" s="1" t="n">
        <v>68.4</v>
      </c>
      <c r="H26" s="1" t="n">
        <v>91.1</v>
      </c>
      <c r="I26" s="1" t="n">
        <v>113.7</v>
      </c>
      <c r="J26" s="3" t="n">
        <f aca="false">INDEX(LINEST($D$1:$I$1,$D26:$I26,,TRUE()),1)</f>
        <v>0.4398963043963</v>
      </c>
      <c r="K26" s="4" t="n">
        <f aca="false">INDEX(LINEST($D$1:$I$1,$D26:$I26,,TRUE()),2)</f>
        <v>0.000353557424027151</v>
      </c>
      <c r="L26" s="4" t="n">
        <f aca="false">INDEX(LINEST($D$1:$I$1,$D26:$I26,,TRUE()),3)</f>
        <v>0.99999741608535</v>
      </c>
    </row>
    <row r="27" customFormat="false" ht="12.75" hidden="false" customHeight="false" outlineLevel="0" collapsed="false">
      <c r="A27" s="1" t="s">
        <v>120</v>
      </c>
      <c r="B27" s="2" t="n">
        <v>26.4</v>
      </c>
      <c r="C27" s="1" t="n">
        <v>1016.9</v>
      </c>
      <c r="D27" s="2" t="n">
        <v>0.2</v>
      </c>
      <c r="E27" s="1" t="n">
        <v>25.91</v>
      </c>
      <c r="F27" s="1" t="n">
        <v>51.65</v>
      </c>
      <c r="G27" s="1" t="n">
        <v>77.35</v>
      </c>
      <c r="H27" s="1" t="n">
        <v>103.02</v>
      </c>
      <c r="I27" s="1" t="n">
        <v>128.54</v>
      </c>
      <c r="J27" s="3" t="n">
        <f aca="false">INDEX(LINEST($D$1:$I$1,$D27:$I27,,TRUE()),1)</f>
        <v>0.38943767107771</v>
      </c>
      <c r="K27" s="4" t="n">
        <f aca="false">INDEX(LINEST($D$1:$I$1,$D27:$I27,,TRUE()),2)</f>
        <v>0.000271785259243002</v>
      </c>
      <c r="L27" s="4" t="n">
        <f aca="false">INDEX(LINEST($D$1:$I$1,$D27:$I27,,TRUE()),3)</f>
        <v>0.999998051793343</v>
      </c>
    </row>
    <row r="28" customFormat="false" ht="12.75" hidden="false" customHeight="false" outlineLevel="0" collapsed="false">
      <c r="A28" s="1" t="s">
        <v>121</v>
      </c>
      <c r="B28" s="2" t="n">
        <v>24.3</v>
      </c>
      <c r="C28" s="1" t="n">
        <v>1006.7</v>
      </c>
      <c r="D28" s="2" t="n">
        <v>0.31</v>
      </c>
      <c r="E28" s="1" t="n">
        <v>24.53</v>
      </c>
      <c r="F28" s="1" t="n">
        <v>48.71</v>
      </c>
      <c r="G28" s="1" t="n">
        <v>72.89</v>
      </c>
      <c r="H28" s="1" t="n">
        <v>97.03</v>
      </c>
      <c r="I28" s="1" t="n">
        <v>121.04</v>
      </c>
      <c r="J28" s="3" t="n">
        <f aca="false">INDEX(LINEST($D$1:$I$1,$D28:$I28,,TRUE()),1)</f>
        <v>0.414038682771161</v>
      </c>
      <c r="K28" s="4" t="n">
        <f aca="false">INDEX(LINEST($D$1:$I$1,$D28:$I28,,TRUE()),2)</f>
        <v>0.000288619281362026</v>
      </c>
      <c r="L28" s="4" t="n">
        <f aca="false">INDEX(LINEST($D$1:$I$1,$D28:$I28,,TRUE()),3)</f>
        <v>0.999998056305559</v>
      </c>
    </row>
    <row r="29" customFormat="false" ht="12.75" hidden="false" customHeight="false" outlineLevel="0" collapsed="false">
      <c r="A29" s="1" t="s">
        <v>122</v>
      </c>
      <c r="B29" s="2" t="n">
        <v>2403</v>
      </c>
      <c r="C29" s="1" t="n">
        <v>1006.7</v>
      </c>
      <c r="D29" s="2" t="n">
        <v>-0.26</v>
      </c>
      <c r="E29" s="1" t="n">
        <v>23.64</v>
      </c>
      <c r="F29" s="1" t="n">
        <v>47.54</v>
      </c>
      <c r="G29" s="1" t="n">
        <v>71.46</v>
      </c>
      <c r="H29" s="1" t="n">
        <v>95.37</v>
      </c>
      <c r="I29" s="1" t="n">
        <v>119.06</v>
      </c>
      <c r="J29" s="3" t="n">
        <f aca="false">INDEX(LINEST($D$1:$I$1,$D29:$I29,,TRUE()),1)</f>
        <v>0.41880464441727</v>
      </c>
      <c r="K29" s="4" t="n">
        <f aca="false">INDEX(LINEST($D$1:$I$1,$D29:$I29,,TRUE()),2)</f>
        <v>0.000310717997252661</v>
      </c>
      <c r="L29" s="4" t="n">
        <f aca="false">INDEX(LINEST($D$1:$I$1,$D29:$I29,,TRUE()),3)</f>
        <v>0.999997798245591</v>
      </c>
    </row>
    <row r="30" customFormat="false" ht="12.75" hidden="false" customHeight="false" outlineLevel="0" collapsed="false">
      <c r="A30" s="1" t="s">
        <v>123</v>
      </c>
      <c r="B30" s="2" t="n">
        <v>24.3</v>
      </c>
      <c r="C30" s="1" t="n">
        <v>1006.7</v>
      </c>
      <c r="D30" s="2" t="n">
        <v>-0.24</v>
      </c>
      <c r="E30" s="1" t="n">
        <v>24.17</v>
      </c>
      <c r="F30" s="1" t="n">
        <v>48.56</v>
      </c>
      <c r="G30" s="1" t="n">
        <v>72.94</v>
      </c>
      <c r="H30" s="1" t="n">
        <v>97.25</v>
      </c>
      <c r="I30" s="1" t="n">
        <v>121.46</v>
      </c>
      <c r="J30" s="3" t="n">
        <f aca="false">INDEX(LINEST($D$1:$I$1,$D30:$I30,,TRUE()),1)</f>
        <v>0.410739372130797</v>
      </c>
      <c r="K30" s="4" t="n">
        <f aca="false">INDEX(LINEST($D$1:$I$1,$D30:$I30,,TRUE()),2)</f>
        <v>0.00030386417987641</v>
      </c>
      <c r="L30" s="4" t="n">
        <f aca="false">INDEX(LINEST($D$1:$I$1,$D30:$I30,,TRUE()),3)</f>
        <v>0.99999781080027</v>
      </c>
    </row>
    <row r="31" customFormat="false" ht="12.75" hidden="false" customHeight="false" outlineLevel="0" collapsed="false">
      <c r="A31" s="1" t="s">
        <v>124</v>
      </c>
      <c r="B31" s="2" t="n">
        <v>24.3</v>
      </c>
      <c r="C31" s="1" t="n">
        <v>1006.9</v>
      </c>
      <c r="D31" s="2" t="n">
        <v>-0.39</v>
      </c>
      <c r="E31" s="1" t="n">
        <v>35.82</v>
      </c>
      <c r="F31" s="1" t="n">
        <v>71.86</v>
      </c>
      <c r="G31" s="1" t="n">
        <v>107.71</v>
      </c>
      <c r="H31" s="1" t="n">
        <v>143.2</v>
      </c>
      <c r="I31" s="1" t="n">
        <v>178.26</v>
      </c>
      <c r="J31" s="3" t="n">
        <f aca="false">INDEX(LINEST($D$1:$I$1,$D31:$I31,,TRUE()),1)</f>
        <v>0.27971287354156</v>
      </c>
      <c r="K31" s="4" t="n">
        <f aca="false">INDEX(LINEST($D$1:$I$1,$D31:$I31,,TRUE()),2)</f>
        <v>0.000821114201749683</v>
      </c>
      <c r="L31" s="4" t="n">
        <f aca="false">INDEX(LINEST($D$1:$I$1,$D31:$I31,,TRUE()),3)</f>
        <v>0.999965531114692</v>
      </c>
    </row>
    <row r="32" customFormat="false" ht="12.75" hidden="false" customHeight="false" outlineLevel="0" collapsed="false">
      <c r="A32" s="1" t="s">
        <v>125</v>
      </c>
      <c r="B32" s="2" t="n">
        <v>24.3</v>
      </c>
      <c r="C32" s="1" t="n">
        <v>1006.9</v>
      </c>
      <c r="D32" s="2" t="n">
        <v>0.03</v>
      </c>
      <c r="E32" s="1" t="n">
        <v>25.4</v>
      </c>
      <c r="F32" s="1" t="n">
        <v>50.84</v>
      </c>
      <c r="G32" s="1" t="n">
        <v>76.23</v>
      </c>
      <c r="H32" s="1" t="n">
        <v>101.54</v>
      </c>
      <c r="I32" s="1" t="n">
        <v>126.8</v>
      </c>
      <c r="J32" s="3" t="n">
        <f aca="false">INDEX(LINEST($D$1:$I$1,$D32:$I32,,TRUE()),1)</f>
        <v>0.394294514634791</v>
      </c>
      <c r="K32" s="4" t="n">
        <f aca="false">INDEX(LINEST($D$1:$I$1,$D32:$I32,,TRUE()),2)</f>
        <v>0.000242862945363747</v>
      </c>
      <c r="L32" s="4" t="n">
        <f aca="false">INDEX(LINEST($D$1:$I$1,$D32:$I32,,TRUE()),3)</f>
        <v>0.999998482459197</v>
      </c>
    </row>
    <row r="33" s="21" customFormat="true" ht="12.75" hidden="false" customHeight="false" outlineLevel="0" collapsed="false">
      <c r="A33" s="21" t="s">
        <v>126</v>
      </c>
      <c r="B33" s="22" t="n">
        <v>24.3</v>
      </c>
      <c r="C33" s="21" t="n">
        <v>1006.9</v>
      </c>
      <c r="D33" s="22" t="n">
        <v>0.01</v>
      </c>
      <c r="E33" s="21" t="n">
        <v>24.98</v>
      </c>
      <c r="F33" s="21" t="n">
        <v>49.98</v>
      </c>
      <c r="G33" s="21" t="n">
        <v>74.99</v>
      </c>
      <c r="H33" s="21" t="n">
        <v>100.01</v>
      </c>
      <c r="I33" s="21" t="n">
        <v>124.87</v>
      </c>
      <c r="J33" s="23" t="n">
        <f aca="false">INDEX(LINEST($D$1:$I$1,$D33:$I33,,TRUE()),1)</f>
        <v>0.400274159112067</v>
      </c>
      <c r="K33" s="24" t="n">
        <f aca="false">INDEX(LINEST($D$1:$I$1,$D33:$I33,,TRUE()),2)</f>
        <v>0.000177490473695901</v>
      </c>
      <c r="L33" s="24" t="n">
        <f aca="false">INDEX(LINEST($D$1:$I$1,$D33:$I33,,TRUE()),3)</f>
        <v>0.999999213507403</v>
      </c>
      <c r="N33" s="25" t="s">
        <v>18</v>
      </c>
      <c r="O33" s="26" t="s">
        <v>18</v>
      </c>
      <c r="Q33" s="25" t="s">
        <v>127</v>
      </c>
      <c r="R33" s="25"/>
      <c r="S33" s="25"/>
      <c r="T33" s="25" t="s">
        <v>128</v>
      </c>
    </row>
    <row r="34" customFormat="false" ht="12.75" hidden="false" customHeight="false" outlineLevel="0" collapsed="false">
      <c r="A34" s="1" t="s">
        <v>64</v>
      </c>
      <c r="B34" s="2" t="n">
        <v>22.3</v>
      </c>
      <c r="C34" s="1" t="n">
        <v>1007</v>
      </c>
      <c r="D34" s="2" t="n">
        <v>-0.21</v>
      </c>
      <c r="E34" s="1" t="n">
        <v>19.03</v>
      </c>
      <c r="F34" s="1" t="n">
        <v>38.37</v>
      </c>
      <c r="G34" s="1" t="n">
        <v>57.74</v>
      </c>
      <c r="H34" s="1" t="n">
        <v>77.09</v>
      </c>
      <c r="I34" s="1" t="n">
        <v>96.4</v>
      </c>
      <c r="J34" s="3" t="n">
        <f aca="false">INDEX(LINEST($D$1:$I$1,$D34:$I34,,TRUE()),1)</f>
        <v>0.517291876260603</v>
      </c>
      <c r="K34" s="4" t="n">
        <f aca="false">INDEX(LINEST($D$1:$I$1,$D34:$I34,,TRUE()),2)</f>
        <v>0.000245965298326124</v>
      </c>
      <c r="L34" s="4" t="n">
        <f aca="false">INDEX(LINEST($D$1:$I$1,$D34:$I34,,TRUE()),3)</f>
        <v>0.999999095651211</v>
      </c>
    </row>
    <row r="35" customFormat="false" ht="12.75" hidden="false" customHeight="false" outlineLevel="0" collapsed="false">
      <c r="A35" s="1" t="s">
        <v>65</v>
      </c>
      <c r="B35" s="2" t="n">
        <v>22.3</v>
      </c>
      <c r="C35" s="1" t="n">
        <v>1007</v>
      </c>
      <c r="D35" s="2" t="n">
        <v>-0.2</v>
      </c>
      <c r="E35" s="1" t="n">
        <v>19.27</v>
      </c>
      <c r="F35" s="1" t="n">
        <v>38.88</v>
      </c>
      <c r="G35" s="1" t="n">
        <v>58.49</v>
      </c>
      <c r="H35" s="1" t="n">
        <v>78.08</v>
      </c>
      <c r="I35" s="1" t="n">
        <v>97.59</v>
      </c>
      <c r="J35" s="3" t="n">
        <f aca="false">INDEX(LINEST($D$1:$I$1,$D35:$I35,,TRUE()),1)</f>
        <v>0.510955756247154</v>
      </c>
      <c r="K35" s="4" t="n">
        <f aca="false">INDEX(LINEST($D$1:$I$1,$D35:$I35,,TRUE()),2)</f>
        <v>0.00027870308364315</v>
      </c>
      <c r="L35" s="4" t="n">
        <f aca="false">INDEX(LINEST($D$1:$I$1,$D35:$I35,,TRUE()),3)</f>
        <v>0.999998809919251</v>
      </c>
    </row>
    <row r="36" customFormat="false" ht="12.75" hidden="false" customHeight="false" outlineLevel="0" collapsed="false">
      <c r="A36" s="1" t="s">
        <v>66</v>
      </c>
      <c r="B36" s="2" t="n">
        <v>23.1</v>
      </c>
      <c r="C36" s="1" t="n">
        <v>992</v>
      </c>
      <c r="D36" s="2" t="n">
        <v>-0.099</v>
      </c>
      <c r="E36" s="1" t="n">
        <v>19.704</v>
      </c>
      <c r="F36" s="1" t="n">
        <v>39.546</v>
      </c>
      <c r="G36" s="1" t="n">
        <v>59.377</v>
      </c>
      <c r="H36" s="1" t="n">
        <v>79.159</v>
      </c>
      <c r="I36" s="1" t="n">
        <v>98.838</v>
      </c>
      <c r="J36" s="3" t="n">
        <f aca="false">INDEX(LINEST($D$1:$I$1,$D36:$I36,,TRUE()),1)</f>
        <v>0.505136319198029</v>
      </c>
      <c r="K36" s="4" t="n">
        <f aca="false">INDEX(LINEST($D$1:$I$1,$D36:$I36,,TRUE()),2)</f>
        <v>0.000342072761511749</v>
      </c>
      <c r="L36" s="4" t="n">
        <f aca="false">INDEX(LINEST($D$1:$I$1,$D36:$I36,,TRUE()),3)</f>
        <v>0.99999816566357</v>
      </c>
    </row>
    <row r="37" customFormat="false" ht="12.75" hidden="false" customHeight="false" outlineLevel="0" collapsed="false">
      <c r="A37" s="1" t="s">
        <v>68</v>
      </c>
      <c r="B37" s="2" t="n">
        <v>23.1</v>
      </c>
      <c r="C37" s="1" t="n">
        <v>992</v>
      </c>
      <c r="D37" s="2" t="n">
        <v>-0.046</v>
      </c>
      <c r="E37" s="1" t="n">
        <v>19.958</v>
      </c>
      <c r="F37" s="1" t="n">
        <v>40.051</v>
      </c>
      <c r="G37" s="1" t="n">
        <v>60.183</v>
      </c>
      <c r="H37" s="1" t="n">
        <v>80.31</v>
      </c>
      <c r="I37" s="1" t="n">
        <v>100.37</v>
      </c>
      <c r="J37" s="3" t="n">
        <f aca="false">INDEX(LINEST($D$1:$I$1,$D37:$I37,,TRUE()),1)</f>
        <v>0.497676090310047</v>
      </c>
      <c r="K37" s="4" t="n">
        <f aca="false">INDEX(LINEST($D$1:$I$1,$D37:$I37,,TRUE()),2)</f>
        <v>0.000242106629538117</v>
      </c>
      <c r="L37" s="4" t="n">
        <f aca="false">INDEX(LINEST($D$1:$I$1,$D37:$I37,,TRUE()),3)</f>
        <v>0.999999053371903</v>
      </c>
    </row>
    <row r="38" customFormat="false" ht="12.75" hidden="false" customHeight="false" outlineLevel="0" collapsed="false">
      <c r="A38" s="1" t="s">
        <v>70</v>
      </c>
      <c r="B38" s="2" t="n">
        <v>23.1</v>
      </c>
      <c r="C38" s="1" t="n">
        <v>992</v>
      </c>
      <c r="D38" s="2" t="n">
        <v>-0.262</v>
      </c>
      <c r="E38" s="1" t="n">
        <v>19.332</v>
      </c>
      <c r="F38" s="1" t="n">
        <v>38.988</v>
      </c>
      <c r="G38" s="1" t="n">
        <v>58.655</v>
      </c>
      <c r="H38" s="1" t="n">
        <v>78.282</v>
      </c>
      <c r="I38" s="1" t="n">
        <v>97.828</v>
      </c>
      <c r="J38" s="3" t="n">
        <f aca="false">INDEX(LINEST($D$1:$I$1,$D38:$I38,,TRUE()),1)</f>
        <v>0.509485468975686</v>
      </c>
      <c r="K38" s="4" t="n">
        <f aca="false">INDEX(LINEST($D$1:$I$1,$D38:$I38,,TRUE()),2)</f>
        <v>0.000234202832174238</v>
      </c>
      <c r="L38" s="4" t="n">
        <f aca="false">INDEX(LINEST($D$1:$I$1,$D38:$I38,,TRUE()),3)</f>
        <v>0.999999154759486</v>
      </c>
    </row>
    <row r="39" customFormat="false" ht="12.75" hidden="false" customHeight="false" outlineLevel="0" collapsed="false">
      <c r="A39" s="1" t="s">
        <v>71</v>
      </c>
      <c r="B39" s="2" t="n">
        <v>26.1</v>
      </c>
      <c r="C39" s="1" t="n">
        <v>1022</v>
      </c>
      <c r="D39" s="2" t="n">
        <v>0.594</v>
      </c>
      <c r="E39" s="2" t="n">
        <v>18.732</v>
      </c>
      <c r="F39" s="1" t="n">
        <v>36.945</v>
      </c>
      <c r="G39" s="1" t="n">
        <v>55.195</v>
      </c>
      <c r="H39" s="1" t="n">
        <v>73.455</v>
      </c>
      <c r="I39" s="1" t="n">
        <v>91.682</v>
      </c>
      <c r="J39" s="3" t="n">
        <f aca="false">INDEX(LINEST($D$1:$I$1,$D39:$I39,,TRUE()),1)</f>
        <v>0.548709955525258</v>
      </c>
      <c r="K39" s="4" t="n">
        <f aca="false">INDEX(LINEST($D$1:$I$1,$D39:$I39,,TRUE()),2)</f>
        <v>0.000299278441476672</v>
      </c>
      <c r="L39" s="4" t="n">
        <f aca="false">INDEX(LINEST($D$1:$I$1,$D39:$I39,,TRUE()),3)</f>
        <v>0.999998810061101</v>
      </c>
    </row>
    <row r="40" customFormat="false" ht="12.75" hidden="false" customHeight="false" outlineLevel="0" collapsed="false">
      <c r="A40" s="1" t="s">
        <v>72</v>
      </c>
      <c r="B40" s="2" t="n">
        <v>26.1</v>
      </c>
      <c r="C40" s="1" t="n">
        <v>1022</v>
      </c>
      <c r="D40" s="2" t="n">
        <v>0.465</v>
      </c>
      <c r="E40" s="1" t="n">
        <v>20.296</v>
      </c>
      <c r="F40" s="1" t="n">
        <v>40.218</v>
      </c>
      <c r="G40" s="1" t="n">
        <v>60.192</v>
      </c>
      <c r="H40" s="1" t="n">
        <v>80.155</v>
      </c>
      <c r="I40" s="1" t="n">
        <v>100.052</v>
      </c>
      <c r="J40" s="3" t="n">
        <f aca="false">INDEX(LINEST($D$1:$I$1,$D40:$I40,,TRUE()),1)</f>
        <v>0.501801595448021</v>
      </c>
      <c r="K40" s="4" t="n">
        <f aca="false">INDEX(LINEST($D$1:$I$1,$D40:$I40,,TRUE()),2)</f>
        <v>0.000272349263079888</v>
      </c>
      <c r="L40" s="4" t="n">
        <f aca="false">INDEX(LINEST($D$1:$I$1,$D40:$I40,,TRUE()),3)</f>
        <v>0.99999882172188</v>
      </c>
      <c r="P40" s="15" t="s">
        <v>36</v>
      </c>
      <c r="Q40" s="15"/>
      <c r="R40" s="15"/>
      <c r="S40" s="15"/>
    </row>
    <row r="41" customFormat="false" ht="12.75" hidden="false" customHeight="false" outlineLevel="0" collapsed="false">
      <c r="A41" s="1" t="s">
        <v>74</v>
      </c>
      <c r="B41" s="2" t="n">
        <v>26.1</v>
      </c>
      <c r="C41" s="1" t="n">
        <v>1022</v>
      </c>
      <c r="D41" s="2" t="n">
        <v>0.588</v>
      </c>
      <c r="E41" s="1" t="n">
        <v>20.885</v>
      </c>
      <c r="F41" s="1" t="n">
        <v>41.261</v>
      </c>
      <c r="G41" s="1" t="n">
        <v>61.663</v>
      </c>
      <c r="H41" s="1" t="n">
        <v>82.034</v>
      </c>
      <c r="I41" s="1" t="n">
        <v>102.319</v>
      </c>
      <c r="J41" s="3" t="n">
        <f aca="false">INDEX(LINEST($D$1:$I$1,$D41:$I41,,TRUE()),1)</f>
        <v>0.491224933946162</v>
      </c>
      <c r="K41" s="4" t="n">
        <f aca="false">INDEX(LINEST($D$1:$I$1,$D41:$I41,,TRUE()),2)</f>
        <v>0.000215589564738513</v>
      </c>
      <c r="L41" s="4" t="n">
        <f aca="false">INDEX(LINEST($D$1:$I$1,$D41:$I41,,TRUE()),3)</f>
        <v>0.999999229532503</v>
      </c>
    </row>
    <row r="42" customFormat="false" ht="12.75" hidden="false" customHeight="false" outlineLevel="0" collapsed="false">
      <c r="A42" s="1" t="s">
        <v>75</v>
      </c>
      <c r="B42" s="2" t="n">
        <v>23.5</v>
      </c>
      <c r="C42" s="1" t="n">
        <v>1008</v>
      </c>
      <c r="D42" s="2" t="n">
        <v>0.135</v>
      </c>
      <c r="E42" s="1" t="n">
        <v>19.837</v>
      </c>
      <c r="F42" s="1" t="n">
        <v>39.606</v>
      </c>
      <c r="G42" s="1" t="n">
        <v>59.398</v>
      </c>
      <c r="H42" s="1" t="n">
        <v>79.165</v>
      </c>
      <c r="I42" s="1" t="n">
        <v>98.858</v>
      </c>
      <c r="J42" s="3" t="n">
        <f aca="false">INDEX(LINEST($D$1:$I$1,$D42:$I42,,TRUE()),1)</f>
        <v>0.506225555436562</v>
      </c>
      <c r="K42" s="4" t="n">
        <f aca="false">INDEX(LINEST($D$1:$I$1,$D42:$I42,,TRUE()),2)</f>
        <v>0.000194655449187863</v>
      </c>
      <c r="L42" s="4" t="n">
        <f aca="false">INDEX(LINEST($D$1:$I$1,$D42:$I42,,TRUE()),3)</f>
        <v>0.999999408568114</v>
      </c>
    </row>
    <row r="43" customFormat="false" ht="12.75" hidden="false" customHeight="false" outlineLevel="0" collapsed="false">
      <c r="A43" s="1" t="s">
        <v>77</v>
      </c>
      <c r="B43" s="2" t="n">
        <v>23.5</v>
      </c>
      <c r="C43" s="1" t="n">
        <v>1008</v>
      </c>
      <c r="D43" s="2" t="n">
        <v>0.189</v>
      </c>
      <c r="E43" s="1" t="n">
        <v>19.869</v>
      </c>
      <c r="F43" s="1" t="n">
        <v>39.614</v>
      </c>
      <c r="G43" s="1" t="n">
        <v>59.376</v>
      </c>
      <c r="H43" s="1" t="n">
        <v>79.108</v>
      </c>
      <c r="I43" s="1" t="n">
        <v>98.76</v>
      </c>
      <c r="J43" s="3" t="n">
        <f aca="false">INDEX(LINEST($D$1:$I$1,$D43:$I43,,TRUE()),1)</f>
        <v>0.50700061598033</v>
      </c>
      <c r="K43" s="4" t="n">
        <f aca="false">INDEX(LINEST($D$1:$I$1,$D43:$I43,,TRUE()),2)</f>
        <v>0.000208499955921996</v>
      </c>
      <c r="L43" s="4" t="n">
        <f aca="false">INDEX(LINEST($D$1:$I$1,$D43:$I43,,TRUE()),3)</f>
        <v>0.999999323520472</v>
      </c>
    </row>
    <row r="44" customFormat="false" ht="12.75" hidden="false" customHeight="false" outlineLevel="0" collapsed="false">
      <c r="A44" s="1" t="s">
        <v>78</v>
      </c>
      <c r="B44" s="2" t="n">
        <v>23.5</v>
      </c>
      <c r="C44" s="1" t="n">
        <v>1008</v>
      </c>
      <c r="D44" s="2" t="n">
        <v>0.296</v>
      </c>
      <c r="E44" s="1" t="n">
        <v>19.898</v>
      </c>
      <c r="F44" s="1" t="n">
        <v>39.553</v>
      </c>
      <c r="G44" s="1" t="n">
        <v>59.215</v>
      </c>
      <c r="H44" s="1" t="n">
        <v>78.835</v>
      </c>
      <c r="I44" s="1" t="n">
        <v>98.37</v>
      </c>
      <c r="J44" s="3" t="n">
        <f aca="false">INDEX(LINEST($D$1:$I$1,$D44:$I44,,TRUE()),1)</f>
        <v>0.50957738281148</v>
      </c>
      <c r="K44" s="4" t="n">
        <f aca="false">INDEX(LINEST($D$1:$I$1,$D44:$I44,,TRUE()),2)</f>
        <v>0.000251734007776862</v>
      </c>
      <c r="L44" s="4" t="n">
        <f aca="false">INDEX(LINEST($D$1:$I$1,$D44:$I44,,TRUE()),3)</f>
        <v>0.999999023835387</v>
      </c>
    </row>
    <row r="45" customFormat="false" ht="12.75" hidden="false" customHeight="false" outlineLevel="0" collapsed="false">
      <c r="A45" s="1" t="s">
        <v>79</v>
      </c>
      <c r="B45" s="2" t="n">
        <v>23.5</v>
      </c>
      <c r="C45" s="1" t="n">
        <v>1008</v>
      </c>
      <c r="D45" s="2" t="n">
        <v>0.287</v>
      </c>
      <c r="E45" s="1" t="n">
        <v>21.12</v>
      </c>
      <c r="F45" s="1" t="n">
        <v>41.89</v>
      </c>
      <c r="G45" s="1" t="n">
        <v>62.591</v>
      </c>
      <c r="H45" s="1" t="n">
        <v>83.225</v>
      </c>
      <c r="I45" s="1" t="n">
        <v>103.757</v>
      </c>
      <c r="J45" s="3" t="n">
        <f aca="false">INDEX(LINEST($D$1:$I$1,$D45:$I45,,TRUE()),1)</f>
        <v>0.483177917268911</v>
      </c>
      <c r="K45" s="4" t="n">
        <f aca="false">INDEX(LINEST($D$1:$I$1,$D45:$I45,,TRUE()),2)</f>
        <v>0.000625310219958202</v>
      </c>
      <c r="L45" s="4" t="n">
        <f aca="false">INDEX(LINEST($D$1:$I$1,$D45:$I45,,TRUE()),3)</f>
        <v>0.999993300629749</v>
      </c>
    </row>
    <row r="46" customFormat="false" ht="12.75" hidden="false" customHeight="false" outlineLevel="0" collapsed="false">
      <c r="A46" s="1" t="s">
        <v>80</v>
      </c>
      <c r="B46" s="2" t="n">
        <v>22.2</v>
      </c>
      <c r="C46" s="1" t="n">
        <v>1023.5</v>
      </c>
      <c r="D46" s="2" t="n">
        <v>0.766</v>
      </c>
      <c r="E46" s="1" t="n">
        <v>22.185</v>
      </c>
      <c r="F46" s="1" t="n">
        <v>43.535</v>
      </c>
      <c r="G46" s="1" t="n">
        <v>64.801</v>
      </c>
      <c r="H46" s="1" t="n">
        <v>85.985</v>
      </c>
      <c r="I46" s="1" t="n">
        <v>107.09</v>
      </c>
      <c r="J46" s="3" t="n">
        <f aca="false">INDEX(LINEST($D$1:$I$1,$D46:$I46,,TRUE()),1)</f>
        <v>0.470245807796399</v>
      </c>
      <c r="K46" s="4" t="n">
        <f aca="false">INDEX(LINEST($D$1:$I$1,$D46:$I46,,TRUE()),2)</f>
        <v>0.000644366464818211</v>
      </c>
      <c r="L46" s="4" t="n">
        <f aca="false">INDEX(LINEST($D$1:$I$1,$D46:$I46,,TRUE()),3)</f>
        <v>0.999992489433003</v>
      </c>
    </row>
    <row r="47" customFormat="false" ht="12.75" hidden="false" customHeight="false" outlineLevel="0" collapsed="false">
      <c r="A47" s="1" t="s">
        <v>81</v>
      </c>
      <c r="B47" s="2" t="n">
        <v>22.2</v>
      </c>
      <c r="C47" s="1" t="n">
        <v>1023.5</v>
      </c>
      <c r="D47" s="2" t="n">
        <v>0.612</v>
      </c>
      <c r="E47" s="1" t="n">
        <v>22.205</v>
      </c>
      <c r="F47" s="1" t="n">
        <v>43.716</v>
      </c>
      <c r="G47" s="1" t="n">
        <v>65.142</v>
      </c>
      <c r="H47" s="1" t="n">
        <v>86.449</v>
      </c>
      <c r="I47" s="1" t="n">
        <v>107.736</v>
      </c>
      <c r="J47" s="3" t="n">
        <f aca="false">INDEX(LINEST($D$1:$I$1,$D47:$I47,,TRUE()),1)</f>
        <v>0.4668009907398</v>
      </c>
      <c r="K47" s="4" t="n">
        <f aca="false">INDEX(LINEST($D$1:$I$1,$D47:$I47,,TRUE()),2)</f>
        <v>0.000670309330892562</v>
      </c>
      <c r="L47" s="4" t="n">
        <f aca="false">INDEX(LINEST($D$1:$I$1,$D47:$I47,,TRUE()),3)</f>
        <v>0.999991752099732</v>
      </c>
      <c r="M47" s="13" t="s">
        <v>20</v>
      </c>
    </row>
    <row r="48" customFormat="false" ht="12.75" hidden="false" customHeight="false" outlineLevel="0" collapsed="false">
      <c r="A48" s="1" t="s">
        <v>82</v>
      </c>
      <c r="B48" s="2" t="n">
        <v>22.2</v>
      </c>
      <c r="C48" s="1" t="n">
        <v>1023.5</v>
      </c>
      <c r="D48" s="2" t="n">
        <v>-0.041</v>
      </c>
      <c r="E48" s="1" t="n">
        <v>14.526</v>
      </c>
      <c r="F48" s="1" t="n">
        <v>29.109</v>
      </c>
      <c r="G48" s="1" t="n">
        <v>43.693</v>
      </c>
      <c r="H48" s="1" t="n">
        <v>58.262</v>
      </c>
      <c r="I48" s="1" t="n">
        <v>72.82</v>
      </c>
      <c r="J48" s="3" t="n">
        <f aca="false">INDEX(LINEST($D$1:$I$1,$D48:$I48,,TRUE()),1)</f>
        <v>0.686143948441846</v>
      </c>
      <c r="K48" s="4" t="n">
        <f aca="false">INDEX(LINEST($D$1:$I$1,$D48:$I48,,TRUE()),2)</f>
        <v>0.000100994872588405</v>
      </c>
      <c r="L48" s="4" t="n">
        <f aca="false">INDEX(LINEST($D$1:$I$1,$D48:$I48,,TRUE()),3)</f>
        <v>0.999999913338115</v>
      </c>
    </row>
    <row r="49" customFormat="false" ht="12.75" hidden="false" customHeight="false" outlineLevel="0" collapsed="false">
      <c r="A49" s="1" t="s">
        <v>83</v>
      </c>
      <c r="B49" s="2" t="n">
        <v>22.2</v>
      </c>
      <c r="C49" s="1" t="n">
        <v>1023.5</v>
      </c>
      <c r="D49" s="2" t="n">
        <v>0.668</v>
      </c>
      <c r="E49" s="1" t="n">
        <v>22.118</v>
      </c>
      <c r="F49" s="1" t="n">
        <v>43.488</v>
      </c>
      <c r="G49" s="1" t="n">
        <v>64.778</v>
      </c>
      <c r="H49" s="1" t="n">
        <v>85.978</v>
      </c>
      <c r="I49" s="1" t="n">
        <v>107.095</v>
      </c>
      <c r="J49" s="3" t="n">
        <f aca="false">INDEX(LINEST($D$1:$I$1,$D49:$I49,,TRUE()),1)</f>
        <v>0.469791625040487</v>
      </c>
      <c r="K49" s="4" t="n">
        <f aca="false">INDEX(LINEST($D$1:$I$1,$D49:$I49,,TRUE()),2)</f>
        <v>0.000675026809591431</v>
      </c>
      <c r="L49" s="4" t="n">
        <f aca="false">INDEX(LINEST($D$1:$I$1,$D49:$I49,,TRUE()),3)</f>
        <v>0.999991741752252</v>
      </c>
    </row>
    <row r="50" customFormat="false" ht="12.75" hidden="false" customHeight="false" outlineLevel="0" collapsed="false">
      <c r="A50" s="1" t="s">
        <v>84</v>
      </c>
      <c r="B50" s="2" t="n">
        <v>22.2</v>
      </c>
      <c r="C50" s="1" t="n">
        <v>1023.5</v>
      </c>
      <c r="D50" s="2" t="n">
        <v>0.619</v>
      </c>
      <c r="E50" s="1" t="n">
        <v>21.747</v>
      </c>
      <c r="F50" s="1" t="n">
        <v>42.793</v>
      </c>
      <c r="G50" s="1" t="n">
        <v>63.775</v>
      </c>
      <c r="H50" s="1" t="n">
        <v>84.674</v>
      </c>
      <c r="I50" s="1" t="n">
        <v>105.503</v>
      </c>
      <c r="J50" s="3" t="n">
        <f aca="false">INDEX(LINEST($D$1:$I$1,$D50:$I50,,TRUE()),1)</f>
        <v>0.476717182688799</v>
      </c>
      <c r="K50" s="4" t="n">
        <f aca="false">INDEX(LINEST($D$1:$I$1,$D50:$I50,,TRUE()),2)</f>
        <v>0.000617459539589032</v>
      </c>
      <c r="L50" s="4" t="n">
        <f aca="false">INDEX(LINEST($D$1:$I$1,$D50:$I50,,TRUE()),3)</f>
        <v>0.999993289537174</v>
      </c>
    </row>
    <row r="51" customFormat="false" ht="12.75" hidden="false" customHeight="false" outlineLevel="0" collapsed="false">
      <c r="A51" s="1" t="s">
        <v>54</v>
      </c>
      <c r="B51" s="2" t="n">
        <v>24.3</v>
      </c>
      <c r="C51" s="1" t="n">
        <v>1021</v>
      </c>
      <c r="D51" s="2" t="n">
        <v>0</v>
      </c>
      <c r="E51" s="1" t="n">
        <v>20.23</v>
      </c>
      <c r="F51" s="1" t="n">
        <v>40.52</v>
      </c>
      <c r="G51" s="1" t="n">
        <v>60.83</v>
      </c>
      <c r="H51" s="1" t="n">
        <v>81.07</v>
      </c>
      <c r="I51" s="1" t="n">
        <v>101.22</v>
      </c>
      <c r="J51" s="3" t="n">
        <f aca="false">INDEX(LINEST($D$1:$I$1,$D51:$I51,,TRUE()),1)</f>
        <v>0.493701078854515</v>
      </c>
      <c r="K51" s="4" t="n">
        <f aca="false">INDEX(LINEST($D$1:$I$1,$D51:$I51,,TRUE()),2)</f>
        <v>0.000293317199000155</v>
      </c>
      <c r="L51" s="4" t="n">
        <f aca="false">INDEX(LINEST($D$1:$I$1,$D51:$I51,,TRUE()),3)</f>
        <v>0.999998588092374</v>
      </c>
    </row>
    <row r="52" customFormat="false" ht="12.75" hidden="false" customHeight="false" outlineLevel="0" collapsed="false">
      <c r="A52" s="1" t="s">
        <v>56</v>
      </c>
      <c r="B52" s="2" t="n">
        <v>24.3</v>
      </c>
      <c r="C52" s="1" t="n">
        <v>1020</v>
      </c>
      <c r="D52" s="2" t="n">
        <v>-0.07</v>
      </c>
      <c r="E52" s="1" t="n">
        <v>19.44</v>
      </c>
      <c r="F52" s="1" t="n">
        <v>39.04</v>
      </c>
      <c r="G52" s="1" t="n">
        <v>58.67</v>
      </c>
      <c r="H52" s="1" t="n">
        <v>78.28</v>
      </c>
      <c r="I52" s="1" t="n">
        <v>97.83</v>
      </c>
      <c r="J52" s="3" t="n">
        <f aca="false">INDEX(LINEST($D$1:$I$1,$D52:$I52,,TRUE()),1)</f>
        <v>0.51046412747498</v>
      </c>
      <c r="K52" s="4" t="n">
        <f aca="false">INDEX(LINEST($D$1:$I$1,$D52:$I52,,TRUE()),2)</f>
        <v>0.000224586394759988</v>
      </c>
      <c r="L52" s="4" t="n">
        <f aca="false">INDEX(LINEST($D$1:$I$1,$D52:$I52,,TRUE()),3)</f>
        <v>0.999999225723485</v>
      </c>
    </row>
    <row r="53" customFormat="false" ht="12.75" hidden="false" customHeight="false" outlineLevel="0" collapsed="false">
      <c r="A53" s="1" t="s">
        <v>57</v>
      </c>
      <c r="B53" s="2" t="n">
        <v>24.3</v>
      </c>
      <c r="C53" s="1" t="n">
        <v>1020</v>
      </c>
      <c r="D53" s="2" t="n">
        <v>0.12</v>
      </c>
      <c r="E53" s="1" t="n">
        <v>19.57</v>
      </c>
      <c r="F53" s="1" t="n">
        <v>39.07</v>
      </c>
      <c r="G53" s="1" t="n">
        <v>58.6</v>
      </c>
      <c r="H53" s="1" t="n">
        <v>78.08</v>
      </c>
      <c r="I53" s="1" t="n">
        <v>97.49</v>
      </c>
      <c r="J53" s="3" t="n">
        <f aca="false">INDEX(LINEST($D$1:$I$1,$D53:$I53,,TRUE()),1)</f>
        <v>0.513263834343053</v>
      </c>
      <c r="K53" s="4" t="n">
        <f aca="false">INDEX(LINEST($D$1:$I$1,$D53:$I53,,TRUE()),2)</f>
        <v>0.000220645174503132</v>
      </c>
      <c r="L53" s="4" t="n">
        <f aca="false">INDEX(LINEST($D$1:$I$1,$D53:$I53,,TRUE()),3)</f>
        <v>0.999999260791061</v>
      </c>
    </row>
    <row r="54" customFormat="false" ht="12.75" hidden="false" customHeight="false" outlineLevel="0" collapsed="false">
      <c r="A54" s="1" t="s">
        <v>58</v>
      </c>
      <c r="B54" s="2" t="n">
        <v>24.3</v>
      </c>
      <c r="C54" s="1" t="n">
        <v>1020</v>
      </c>
      <c r="D54" s="2" t="n">
        <v>-0.03</v>
      </c>
      <c r="E54" s="1" t="n">
        <v>19.18</v>
      </c>
      <c r="F54" s="1" t="n">
        <v>38.43</v>
      </c>
      <c r="G54" s="1" t="n">
        <v>57.68</v>
      </c>
      <c r="H54" s="1" t="n">
        <v>76.89</v>
      </c>
      <c r="I54" s="1" t="n">
        <v>96.02</v>
      </c>
      <c r="J54" s="3" t="n">
        <f aca="false">INDEX(LINEST($D$1:$I$1,$D54:$I54,,TRUE()),1)</f>
        <v>0.520344976994586</v>
      </c>
      <c r="K54" s="4" t="n">
        <f aca="false">INDEX(LINEST($D$1:$I$1,$D54:$I54,,TRUE()),2)</f>
        <v>0.00026317483787821</v>
      </c>
      <c r="L54" s="4" t="n">
        <f aca="false">INDEX(LINEST($D$1:$I$1,$D54:$I54,,TRUE()),3)</f>
        <v>0.999998976788195</v>
      </c>
    </row>
    <row r="55" customFormat="false" ht="12.75" hidden="false" customHeight="false" outlineLevel="0" collapsed="false">
      <c r="A55" s="1" t="s">
        <v>59</v>
      </c>
      <c r="B55" s="2" t="n">
        <v>24.3</v>
      </c>
      <c r="C55" s="1" t="n">
        <v>1021</v>
      </c>
      <c r="D55" s="2" t="n">
        <v>0.03</v>
      </c>
      <c r="E55" s="1" t="n">
        <v>19.43</v>
      </c>
      <c r="F55" s="1" t="n">
        <v>38.91</v>
      </c>
      <c r="G55" s="1" t="n">
        <v>58.44</v>
      </c>
      <c r="H55" s="1" t="n">
        <v>77.95</v>
      </c>
      <c r="I55" s="1" t="n">
        <v>97.42</v>
      </c>
      <c r="J55" s="3" t="n">
        <f aca="false">INDEX(LINEST($D$1:$I$1,$D55:$I55,,TRUE()),1)</f>
        <v>0.513165895901249</v>
      </c>
      <c r="K55" s="4" t="n">
        <f aca="false">INDEX(LINEST($D$1:$I$1,$D55:$I55,,TRUE()),2)</f>
        <v>0.000250033402609869</v>
      </c>
      <c r="L55" s="4" t="n">
        <f aca="false">INDEX(LINEST($D$1:$I$1,$D55:$I55,,TRUE()),3)</f>
        <v>0.999999050401394</v>
      </c>
    </row>
    <row r="56" customFormat="false" ht="12.75" hidden="false" customHeight="false" outlineLevel="0" collapsed="false">
      <c r="A56" s="1" t="s">
        <v>61</v>
      </c>
      <c r="B56" s="2" t="n">
        <v>24.3</v>
      </c>
      <c r="C56" s="1" t="n">
        <v>1020</v>
      </c>
      <c r="D56" s="2" t="n">
        <v>0</v>
      </c>
      <c r="E56" s="1" t="n">
        <v>19.43</v>
      </c>
      <c r="F56" s="1" t="n">
        <v>38.94</v>
      </c>
      <c r="G56" s="1" t="n">
        <v>58.49</v>
      </c>
      <c r="H56" s="1" t="n">
        <v>78.04</v>
      </c>
      <c r="I56" s="1" t="n">
        <v>97.53</v>
      </c>
      <c r="J56" s="3" t="n">
        <f aca="false">INDEX(LINEST($D$1:$I$1,$D56:$I56,,TRUE()),1)</f>
        <v>0.51242210547686</v>
      </c>
      <c r="K56" s="4" t="n">
        <f aca="false">INDEX(LINEST($D$1:$I$1,$D56:$I56,,TRUE()),2)</f>
        <v>0.000248517721588813</v>
      </c>
      <c r="L56" s="4" t="n">
        <f aca="false">INDEX(LINEST($D$1:$I$1,$D56:$I56,,TRUE()),3)</f>
        <v>0.999999059153884</v>
      </c>
    </row>
    <row r="57" customFormat="false" ht="12.75" hidden="false" customHeight="false" outlineLevel="0" collapsed="false">
      <c r="A57" s="1" t="s">
        <v>62</v>
      </c>
      <c r="B57" s="2" t="n">
        <v>24.3</v>
      </c>
      <c r="C57" s="1" t="n">
        <v>1021</v>
      </c>
      <c r="D57" s="2" t="n">
        <v>0.06</v>
      </c>
      <c r="E57" s="1" t="n">
        <v>19.68</v>
      </c>
      <c r="F57" s="1" t="n">
        <v>39.41</v>
      </c>
      <c r="G57" s="1" t="n">
        <v>59.19</v>
      </c>
      <c r="H57" s="1" t="n">
        <v>78.98</v>
      </c>
      <c r="I57" s="1" t="n">
        <v>98.72</v>
      </c>
      <c r="J57" s="3" t="n">
        <f aca="false">INDEX(LINEST($D$1:$I$1,$D57:$I57,,TRUE()),1)</f>
        <v>0.506525988232951</v>
      </c>
      <c r="K57" s="4" t="n">
        <f aca="false">INDEX(LINEST($D$1:$I$1,$D57:$I57,,TRUE()),2)</f>
        <v>0.000351101724147915</v>
      </c>
      <c r="L57" s="4" t="n">
        <f aca="false">INDEX(LINEST($D$1:$I$1,$D57:$I57,,TRUE()),3)</f>
        <v>0.999998078140584</v>
      </c>
    </row>
    <row r="58" customFormat="false" ht="12.75" hidden="false" customHeight="false" outlineLevel="0" collapsed="false">
      <c r="A58" s="1" t="s">
        <v>63</v>
      </c>
      <c r="B58" s="2" t="n">
        <v>24.3</v>
      </c>
      <c r="C58" s="1" t="n">
        <v>1021</v>
      </c>
      <c r="D58" s="2" t="n">
        <v>0.13</v>
      </c>
      <c r="E58" s="1" t="n">
        <v>19.79</v>
      </c>
      <c r="F58" s="1" t="n">
        <v>39.52</v>
      </c>
      <c r="G58" s="1" t="n">
        <v>59.3</v>
      </c>
      <c r="H58" s="1" t="n">
        <v>79.06</v>
      </c>
      <c r="I58" s="1" t="n">
        <v>98.76</v>
      </c>
      <c r="J58" s="3" t="n">
        <f aca="false">INDEX(LINEST($D$1:$I$1,$D58:$I58,,TRUE()),1)</f>
        <v>0.506702557221601</v>
      </c>
      <c r="K58" s="4" t="n">
        <f aca="false">INDEX(LINEST($D$1:$I$1,$D58:$I58,,TRUE()),2)</f>
        <v>0.000224826943776263</v>
      </c>
      <c r="L58" s="4" t="n">
        <f aca="false">INDEX(LINEST($D$1:$I$1,$D58:$I58,,TRUE()),3)</f>
        <v>0.99999921250071</v>
      </c>
    </row>
    <row r="59" customFormat="false" ht="12.75" hidden="false" customHeight="false" outlineLevel="0" collapsed="false">
      <c r="A59" s="1" t="s">
        <v>129</v>
      </c>
      <c r="B59" s="2" t="n">
        <v>25</v>
      </c>
      <c r="C59" s="1" t="n">
        <v>982.4</v>
      </c>
      <c r="D59" s="2" t="n">
        <v>-0.38</v>
      </c>
      <c r="E59" s="1" t="n">
        <v>24.68</v>
      </c>
      <c r="F59" s="1" t="n">
        <v>49.75</v>
      </c>
      <c r="G59" s="1" t="n">
        <v>74.78</v>
      </c>
      <c r="H59" s="1" t="n">
        <v>99.75</v>
      </c>
      <c r="I59" s="1" t="n">
        <v>124.6</v>
      </c>
      <c r="J59" s="3" t="n">
        <f aca="false">INDEX(LINEST($D$1:$I$1,$D59:$I59,,TRUE()),1)</f>
        <v>0.399934992093552</v>
      </c>
      <c r="K59" s="4" t="n">
        <f aca="false">INDEX(LINEST($D$1:$I$1,$D59:$I59,,TRUE()),2)</f>
        <v>0.000319057885171477</v>
      </c>
      <c r="L59" s="4" t="n">
        <f aca="false">INDEX(LINEST($D$1:$I$1,$D59:$I59,,TRUE()),3)</f>
        <v>0.999997454230718</v>
      </c>
      <c r="M59" s="15" t="s">
        <v>29</v>
      </c>
      <c r="N59" s="15" t="s">
        <v>29</v>
      </c>
      <c r="O59" s="15" t="s">
        <v>29</v>
      </c>
      <c r="P59" s="15"/>
      <c r="Q59" s="15"/>
      <c r="R59" s="15"/>
      <c r="S59" s="15"/>
    </row>
    <row r="60" customFormat="false" ht="12.75" hidden="false" customHeight="false" outlineLevel="0" collapsed="false">
      <c r="A60" s="1" t="s">
        <v>130</v>
      </c>
      <c r="B60" s="2" t="n">
        <v>25</v>
      </c>
      <c r="C60" s="1" t="n">
        <v>982.1</v>
      </c>
      <c r="D60" s="2" t="n">
        <v>-0.28</v>
      </c>
      <c r="E60" s="1" t="n">
        <v>24.45</v>
      </c>
      <c r="F60" s="1" t="n">
        <v>49.07</v>
      </c>
      <c r="G60" s="1" t="n">
        <v>73.64</v>
      </c>
      <c r="H60" s="1" t="n">
        <v>98.16</v>
      </c>
      <c r="I60" s="1" t="n">
        <v>122.55</v>
      </c>
      <c r="J60" s="3" t="n">
        <f aca="false">INDEX(LINEST($D$1:$I$1,$D60:$I60,,TRUE()),1)</f>
        <v>0.407045688429909</v>
      </c>
      <c r="K60" s="4" t="n">
        <f aca="false">INDEX(LINEST($D$1:$I$1,$D60:$I60,,TRUE()),2)</f>
        <v>0.000457012858440878</v>
      </c>
      <c r="L60" s="4" t="n">
        <f aca="false">INDEX(LINEST($D$1:$I$1,$D60:$I60,,TRUE()),3)</f>
        <v>0.999994957704163</v>
      </c>
      <c r="M60" s="13" t="s">
        <v>131</v>
      </c>
      <c r="N60" s="13" t="s">
        <v>131</v>
      </c>
      <c r="O60" s="13" t="s">
        <v>131</v>
      </c>
    </row>
    <row r="61" customFormat="false" ht="12.75" hidden="false" customHeight="false" outlineLevel="0" collapsed="false">
      <c r="A61" s="1" t="s">
        <v>132</v>
      </c>
      <c r="B61" s="2" t="n">
        <v>25</v>
      </c>
      <c r="C61" s="1" t="n">
        <v>982.4</v>
      </c>
      <c r="D61" s="2" t="n">
        <v>-0.84</v>
      </c>
      <c r="E61" s="1" t="n">
        <v>22.93</v>
      </c>
      <c r="F61" s="1" t="n">
        <v>46.69</v>
      </c>
      <c r="G61" s="1" t="n">
        <v>70.46</v>
      </c>
      <c r="H61" s="1" t="n">
        <v>94.18</v>
      </c>
      <c r="I61" s="1" t="n">
        <v>117.76</v>
      </c>
      <c r="J61" s="3" t="n">
        <f aca="false">INDEX(LINEST($D$1:$I$1,$D61:$I61,,TRUE()),1)</f>
        <v>0.421421913216922</v>
      </c>
      <c r="K61" s="4" t="n">
        <f aca="false">INDEX(LINEST($D$1:$I$1,$D61:$I61,,TRUE()),2)</f>
        <v>0.000292107878907657</v>
      </c>
      <c r="L61" s="4" t="n">
        <f aca="false">INDEX(LINEST($D$1:$I$1,$D61:$I61,,TRUE()),3)</f>
        <v>0.999998078185481</v>
      </c>
      <c r="M61" s="15" t="s">
        <v>133</v>
      </c>
      <c r="N61" s="15" t="s">
        <v>133</v>
      </c>
      <c r="O61" s="15" t="s">
        <v>133</v>
      </c>
      <c r="P61" s="15" t="s">
        <v>133</v>
      </c>
      <c r="Q61" s="15" t="s">
        <v>133</v>
      </c>
      <c r="R61" s="15" t="s">
        <v>133</v>
      </c>
      <c r="S61" s="15"/>
    </row>
    <row r="62" customFormat="false" ht="12.75" hidden="false" customHeight="false" outlineLevel="0" collapsed="false">
      <c r="A62" s="1" t="s">
        <v>134</v>
      </c>
      <c r="B62" s="2" t="n">
        <v>25</v>
      </c>
      <c r="C62" s="1" t="n">
        <v>981.7</v>
      </c>
      <c r="D62" s="2" t="n">
        <v>-0.61</v>
      </c>
      <c r="E62" s="1" t="n">
        <v>25.09</v>
      </c>
      <c r="F62" s="1" t="n">
        <v>50.79</v>
      </c>
      <c r="G62" s="1" t="n">
        <v>78.45</v>
      </c>
      <c r="H62" s="1" t="n">
        <v>102.1</v>
      </c>
      <c r="I62" s="1" t="n">
        <v>127.65</v>
      </c>
      <c r="J62" s="3" t="n">
        <f aca="false">INDEX(LINEST($D$1:$I$1,$D62:$I62,,TRUE()),1)</f>
        <v>0.388776922850865</v>
      </c>
      <c r="K62" s="4" t="n">
        <f aca="false">INDEX(LINEST($D$1:$I$1,$D62:$I62,,TRUE()),2)</f>
        <v>0.0033619090810281</v>
      </c>
      <c r="L62" s="4" t="n">
        <f aca="false">INDEX(LINEST($D$1:$I$1,$D62:$I62,,TRUE()),3)</f>
        <v>0.999700979418714</v>
      </c>
    </row>
    <row r="63" s="21" customFormat="true" ht="12.75" hidden="false" customHeight="false" outlineLevel="0" collapsed="false">
      <c r="A63" s="21" t="s">
        <v>135</v>
      </c>
      <c r="B63" s="22" t="n">
        <v>25</v>
      </c>
      <c r="C63" s="21" t="n">
        <v>981.9</v>
      </c>
      <c r="D63" s="22" t="n">
        <v>-0.17</v>
      </c>
      <c r="E63" s="21" t="n">
        <v>23.88</v>
      </c>
      <c r="F63" s="21" t="n">
        <v>47.94</v>
      </c>
      <c r="G63" s="21" t="n">
        <v>72.02</v>
      </c>
      <c r="H63" s="21" t="n">
        <v>96.02</v>
      </c>
      <c r="I63" s="21" t="n">
        <v>119.92</v>
      </c>
      <c r="J63" s="23" t="n">
        <f aca="false">INDEX(LINEST($D$1:$I$1,$D63:$I63,,TRUE()),1)</f>
        <v>0.41619531559416</v>
      </c>
      <c r="K63" s="24" t="n">
        <f aca="false">INDEX(LINEST($D$1:$I$1,$D63:$I63,,TRUE()),2)</f>
        <v>0.000260710490436955</v>
      </c>
      <c r="L63" s="24" t="n">
        <f aca="false">INDEX(LINEST($D$1:$I$1,$D63:$I63,,TRUE()),3)</f>
        <v>0.999998430425453</v>
      </c>
      <c r="M63" s="25" t="s">
        <v>24</v>
      </c>
      <c r="N63" s="25" t="s">
        <v>24</v>
      </c>
      <c r="O63" s="25" t="s">
        <v>24</v>
      </c>
      <c r="P63" s="25"/>
      <c r="Q63" s="25"/>
      <c r="R63" s="25"/>
      <c r="S63" s="25"/>
      <c r="T63" s="21" t="s">
        <v>136</v>
      </c>
    </row>
    <row r="64" customFormat="false" ht="12.75" hidden="false" customHeight="false" outlineLevel="0" collapsed="false">
      <c r="A64" s="1" t="s">
        <v>137</v>
      </c>
      <c r="B64" s="2" t="n">
        <v>25</v>
      </c>
      <c r="C64" s="1" t="n">
        <v>981.9</v>
      </c>
      <c r="D64" s="2" t="n">
        <v>-0.66</v>
      </c>
      <c r="E64" s="1" t="n">
        <v>24.12</v>
      </c>
      <c r="F64" s="1" t="n">
        <v>48.87</v>
      </c>
      <c r="G64" s="1" t="n">
        <v>73.64</v>
      </c>
      <c r="H64" s="1" t="n">
        <v>98.36</v>
      </c>
      <c r="I64" s="1" t="n">
        <v>122.96</v>
      </c>
      <c r="J64" s="3" t="n">
        <f aca="false">INDEX(LINEST($D$1:$I$1,$D64:$I64,,TRUE()),1)</f>
        <v>0.40434789816801</v>
      </c>
      <c r="K64" s="4" t="n">
        <f aca="false">INDEX(LINEST($D$1:$I$1,$D64:$I64,,TRUE()),2)</f>
        <v>0.000242325885484008</v>
      </c>
      <c r="L64" s="4" t="n">
        <f aca="false">INDEX(LINEST($D$1:$I$1,$D64:$I64,,TRUE()),3)</f>
        <v>0.99999856335785</v>
      </c>
    </row>
    <row r="65" customFormat="false" ht="12.75" hidden="false" customHeight="false" outlineLevel="0" collapsed="false">
      <c r="A65" s="1" t="s">
        <v>138</v>
      </c>
      <c r="B65" s="2" t="n">
        <v>24.5</v>
      </c>
      <c r="C65" s="1" t="n">
        <v>1017.4</v>
      </c>
      <c r="D65" s="2" t="n">
        <v>0.35</v>
      </c>
      <c r="E65" s="1" t="n">
        <v>23.08</v>
      </c>
      <c r="F65" s="1" t="n">
        <v>45.79</v>
      </c>
      <c r="G65" s="1" t="n">
        <v>68.46</v>
      </c>
      <c r="H65" s="1" t="n">
        <v>91.08</v>
      </c>
      <c r="I65" s="1" t="n">
        <v>113.66</v>
      </c>
      <c r="J65" s="3" t="n">
        <f aca="false">INDEX(LINEST($D$1:$I$1,$D65:$I65,,TRUE()),1)</f>
        <v>0.441238778566153</v>
      </c>
      <c r="K65" s="4" t="n">
        <f aca="false">INDEX(LINEST($D$1:$I$1,$D65:$I65,,TRUE()),2)</f>
        <v>0.000283038844837267</v>
      </c>
      <c r="L65" s="4" t="n">
        <f aca="false">INDEX(LINEST($D$1:$I$1,$D65:$I65,,TRUE()),3)</f>
        <v>0.99999835409784</v>
      </c>
    </row>
    <row r="66" customFormat="false" ht="12.75" hidden="false" customHeight="false" outlineLevel="0" collapsed="false">
      <c r="A66" s="1" t="s">
        <v>139</v>
      </c>
      <c r="B66" s="2" t="n">
        <v>29</v>
      </c>
      <c r="C66" s="1" t="n">
        <v>1012</v>
      </c>
      <c r="D66" s="2" t="n">
        <v>0.77</v>
      </c>
      <c r="E66" s="1" t="n">
        <v>23.78</v>
      </c>
      <c r="F66" s="1" t="n">
        <v>46.75</v>
      </c>
      <c r="G66" s="1" t="n">
        <v>69.68</v>
      </c>
      <c r="H66" s="1" t="n">
        <v>92.54</v>
      </c>
      <c r="I66" s="1" t="n">
        <v>115.36</v>
      </c>
      <c r="J66" s="3" t="n">
        <f aca="false">INDEX(LINEST($D$1:$I$1,$D66:$I66,,TRUE()),1)</f>
        <v>0.43632083382665</v>
      </c>
      <c r="K66" s="4" t="n">
        <f aca="false">INDEX(LINEST($D$1:$I$1,$D66:$I66,,TRUE()),2)</f>
        <v>0.000345914223585058</v>
      </c>
      <c r="L66" s="4" t="n">
        <f aca="false">INDEX(LINEST($D$1:$I$1,$D66:$I66,,TRUE()),3)</f>
        <v>0.99999748589253</v>
      </c>
    </row>
    <row r="67" customFormat="false" ht="12.75" hidden="false" customHeight="false" outlineLevel="0" collapsed="false">
      <c r="A67" s="1" t="s">
        <v>140</v>
      </c>
      <c r="B67" s="2" t="n">
        <v>24.3</v>
      </c>
      <c r="C67" s="1" t="n">
        <v>1022.5</v>
      </c>
      <c r="D67" s="2" t="n">
        <v>0.06</v>
      </c>
      <c r="E67" s="1" t="n">
        <v>25.35</v>
      </c>
      <c r="F67" s="1" t="n">
        <v>50.65</v>
      </c>
      <c r="G67" s="1" t="n">
        <v>75.96</v>
      </c>
      <c r="H67" s="1" t="n">
        <v>101.21</v>
      </c>
      <c r="I67" s="1" t="n">
        <v>126.38</v>
      </c>
      <c r="J67" s="3" t="n">
        <f aca="false">INDEX(LINEST($D$1:$I$1,$D67:$I67,,TRUE()),1)</f>
        <v>0.3957079032781</v>
      </c>
      <c r="K67" s="4" t="n">
        <f aca="false">INDEX(LINEST($D$1:$I$1,$D67:$I67,,TRUE()),2)</f>
        <v>0.000188185703481603</v>
      </c>
      <c r="L67" s="4" t="n">
        <f aca="false">INDEX(LINEST($D$1:$I$1,$D67:$I67,,TRUE()),3)</f>
        <v>0.999999095344134</v>
      </c>
    </row>
    <row r="68" customFormat="false" ht="12.75" hidden="false" customHeight="false" outlineLevel="0" collapsed="false">
      <c r="A68" s="1" t="s">
        <v>141</v>
      </c>
      <c r="B68" s="2" t="n">
        <v>24.3</v>
      </c>
      <c r="C68" s="1" t="n">
        <v>1022.5</v>
      </c>
      <c r="D68" s="2" t="n">
        <v>-0.14</v>
      </c>
      <c r="E68" s="1" t="n">
        <v>35.86</v>
      </c>
      <c r="F68" s="1" t="n">
        <v>71.61</v>
      </c>
      <c r="G68" s="1" t="n">
        <v>107.18</v>
      </c>
      <c r="H68" s="1" t="n">
        <v>142.48</v>
      </c>
      <c r="I68" s="1" t="n">
        <v>177.37</v>
      </c>
      <c r="J68" s="3" t="n">
        <f aca="false">INDEX(LINEST($D$1:$I$1,$D68:$I68,,TRUE()),1)</f>
        <v>0.281573054495742</v>
      </c>
      <c r="K68" s="4" t="n">
        <f aca="false">INDEX(LINEST($D$1:$I$1,$D68:$I68,,TRUE()),2)</f>
        <v>0.000764667587745644</v>
      </c>
      <c r="L68" s="4" t="n">
        <f aca="false">INDEX(LINEST($D$1:$I$1,$D68:$I68,,TRUE()),3)</f>
        <v>0.999970500791764</v>
      </c>
    </row>
    <row r="69" customFormat="false" ht="12.75" hidden="false" customHeight="false" outlineLevel="0" collapsed="false">
      <c r="A69" s="1" t="s">
        <v>142</v>
      </c>
      <c r="B69" s="2" t="n">
        <v>21.7</v>
      </c>
      <c r="C69" s="1" t="n">
        <v>1016.4</v>
      </c>
      <c r="D69" s="2" t="n">
        <v>-0.47</v>
      </c>
      <c r="E69" s="1" t="n">
        <v>24.06</v>
      </c>
      <c r="F69" s="1" t="n">
        <v>48.63</v>
      </c>
      <c r="G69" s="1" t="n">
        <v>73.27</v>
      </c>
      <c r="H69" s="1" t="n">
        <v>97.92</v>
      </c>
      <c r="I69" s="1" t="n">
        <v>122.5</v>
      </c>
      <c r="J69" s="3" t="n">
        <f aca="false">INDEX(LINEST($D$1:$I$1,$D69:$I69,,TRUE()),1)</f>
        <v>0.406470739245072</v>
      </c>
      <c r="K69" s="4" t="n">
        <f aca="false">INDEX(LINEST($D$1:$I$1,$D69:$I69,,TRUE()),2)</f>
        <v>0.000168490548013583</v>
      </c>
      <c r="L69" s="4" t="n">
        <f aca="false">INDEX(LINEST($D$1:$I$1,$D69:$I69,,TRUE()),3)</f>
        <v>0.999999312690726</v>
      </c>
    </row>
    <row r="70" customFormat="false" ht="12.75" hidden="false" customHeight="false" outlineLevel="0" collapsed="false">
      <c r="A70" s="1" t="s">
        <v>143</v>
      </c>
      <c r="B70" s="2" t="n">
        <v>24.3</v>
      </c>
      <c r="C70" s="1" t="n">
        <v>1021.8</v>
      </c>
      <c r="D70" s="2" t="n">
        <v>-0.12</v>
      </c>
      <c r="E70" s="1" t="n">
        <v>26.42</v>
      </c>
      <c r="F70" s="1" t="n">
        <v>52.91</v>
      </c>
      <c r="G70" s="1" t="n">
        <v>79.44</v>
      </c>
      <c r="H70" s="1" t="n">
        <v>105.87</v>
      </c>
      <c r="I70" s="1" t="n">
        <v>132.14</v>
      </c>
      <c r="J70" s="3" t="n">
        <f aca="false">INDEX(LINEST($D$1:$I$1,$D70:$I70,,TRUE()),1)</f>
        <v>0.377895179422239</v>
      </c>
      <c r="K70" s="4" t="n">
        <f aca="false">INDEX(LINEST($D$1:$I$1,$D70:$I70,,TRUE()),2)</f>
        <v>0.000326131236770226</v>
      </c>
      <c r="L70" s="4" t="n">
        <f aca="false">INDEX(LINEST($D$1:$I$1,$D70:$I70,,TRUE()),3)</f>
        <v>0.999997020792254</v>
      </c>
    </row>
    <row r="71" customFormat="false" ht="12.75" hidden="false" customHeight="false" outlineLevel="0" collapsed="false">
      <c r="A71" s="1" t="s">
        <v>144</v>
      </c>
      <c r="B71" s="2" t="n">
        <v>24.3</v>
      </c>
      <c r="C71" s="1" t="n">
        <v>1021.9</v>
      </c>
      <c r="D71" s="2" t="n">
        <v>-0.14</v>
      </c>
      <c r="E71" s="1" t="n">
        <v>24.5</v>
      </c>
      <c r="F71" s="1" t="n">
        <v>49.15</v>
      </c>
      <c r="G71" s="1" t="n">
        <v>73.78</v>
      </c>
      <c r="H71" s="1" t="n">
        <v>98.4</v>
      </c>
      <c r="I71" s="1" t="n">
        <v>122.97</v>
      </c>
      <c r="J71" s="3" t="n">
        <f aca="false">INDEX(LINEST($D$1:$I$1,$D71:$I71,,TRUE()),1)</f>
        <v>0.406088897213806</v>
      </c>
      <c r="K71" s="4" t="n">
        <f aca="false">INDEX(LINEST($D$1:$I$1,$D71:$I71,,TRUE()),2)</f>
        <v>0.000109218499100532</v>
      </c>
      <c r="L71" s="4" t="n">
        <f aca="false">INDEX(LINEST($D$1:$I$1,$D71:$I71,,TRUE()),3)</f>
        <v>0.999999710658957</v>
      </c>
    </row>
    <row r="72" s="21" customFormat="true" ht="12.75" hidden="false" customHeight="false" outlineLevel="0" collapsed="false">
      <c r="A72" s="21" t="s">
        <v>145</v>
      </c>
      <c r="B72" s="22" t="n">
        <v>24.9</v>
      </c>
      <c r="C72" s="21" t="n">
        <v>984</v>
      </c>
      <c r="D72" s="22" t="n">
        <v>-0.84</v>
      </c>
      <c r="E72" s="21" t="n">
        <v>34.91</v>
      </c>
      <c r="F72" s="21" t="n">
        <v>70.56</v>
      </c>
      <c r="G72" s="21" t="n">
        <v>106.1</v>
      </c>
      <c r="H72" s="21" t="n">
        <v>141.28</v>
      </c>
      <c r="I72" s="21" t="n">
        <v>176.12</v>
      </c>
      <c r="J72" s="23" t="n">
        <f aca="false">INDEX(LINEST($D$1:$I$1,$D72:$I72,,TRUE()),1)</f>
        <v>0.282376696646354</v>
      </c>
      <c r="K72" s="24" t="n">
        <f aca="false">INDEX(LINEST($D$1:$I$1,$D72:$I72,,TRUE()),2)</f>
        <v>0.000683542189934206</v>
      </c>
      <c r="L72" s="24" t="n">
        <f aca="false">INDEX(LINEST($D$1:$I$1,$D72:$I72,,TRUE()),3)</f>
        <v>0.999976561880923</v>
      </c>
      <c r="T72" s="21" t="s">
        <v>136</v>
      </c>
    </row>
    <row r="73" customFormat="false" ht="12.75" hidden="false" customHeight="false" outlineLevel="0" collapsed="false">
      <c r="A73" s="1" t="s">
        <v>146</v>
      </c>
      <c r="B73" s="2" t="n">
        <v>25.9</v>
      </c>
      <c r="C73" s="1" t="n">
        <v>1003.3</v>
      </c>
      <c r="D73" s="2" t="n">
        <v>-1.4</v>
      </c>
      <c r="E73" s="1" t="n">
        <v>34.71</v>
      </c>
      <c r="F73" s="1" t="n">
        <v>70.68</v>
      </c>
      <c r="G73" s="1" t="n">
        <v>106.46</v>
      </c>
      <c r="H73" s="1" t="n">
        <v>141.95</v>
      </c>
      <c r="I73" s="1" t="n">
        <v>176.98</v>
      </c>
      <c r="J73" s="3" t="n">
        <f aca="false">INDEX(LINEST($D$1:$I$1,$D73:$I73,,TRUE()),1)</f>
        <v>0.280126193195435</v>
      </c>
      <c r="K73" s="4" t="n">
        <f aca="false">INDEX(LINEST($D$1:$I$1,$D73:$I73,,TRUE()),2)</f>
        <v>0.000761088217721286</v>
      </c>
      <c r="L73" s="4" t="n">
        <f aca="false">INDEX(LINEST($D$1:$I$1,$D73:$I73,,TRUE()),3)</f>
        <v>0.999970473652504</v>
      </c>
      <c r="O73" s="13" t="s">
        <v>147</v>
      </c>
      <c r="P73" s="13" t="s">
        <v>147</v>
      </c>
      <c r="Q73" s="13" t="s">
        <v>147</v>
      </c>
      <c r="R73" s="13" t="s">
        <v>147</v>
      </c>
    </row>
    <row r="74" customFormat="false" ht="12.75" hidden="false" customHeight="false" outlineLevel="0" collapsed="false">
      <c r="A74" s="1" t="s">
        <v>148</v>
      </c>
      <c r="B74" s="2" t="n">
        <v>25.9</v>
      </c>
      <c r="C74" s="1" t="n">
        <v>1003.3</v>
      </c>
      <c r="D74" s="2" t="n">
        <v>-0.27</v>
      </c>
      <c r="E74" s="1" t="n">
        <v>35.76</v>
      </c>
      <c r="F74" s="1" t="n">
        <v>71.65</v>
      </c>
      <c r="G74" s="1" t="n">
        <v>107.3</v>
      </c>
      <c r="H74" s="1" t="n">
        <v>142.62</v>
      </c>
      <c r="I74" s="1" t="n">
        <v>177.54</v>
      </c>
      <c r="J74" s="3" t="n">
        <f aca="false">INDEX(LINEST($D$1:$I$1,$D74:$I74,,TRUE()),1)</f>
        <v>0.281051853624634</v>
      </c>
      <c r="K74" s="4" t="n">
        <f aca="false">INDEX(LINEST($D$1:$I$1,$D74:$I74,,TRUE()),2)</f>
        <v>0.000814153861452248</v>
      </c>
      <c r="L74" s="4" t="n">
        <f aca="false">INDEX(LINEST($D$1:$I$1,$D74:$I74,,TRUE()),3)</f>
        <v>0.999966435090527</v>
      </c>
    </row>
    <row r="75" customFormat="false" ht="12.75" hidden="false" customHeight="false" outlineLevel="0" collapsed="false">
      <c r="A75" s="1" t="s">
        <v>149</v>
      </c>
      <c r="B75" s="2" t="n">
        <v>27.3</v>
      </c>
      <c r="C75" s="1" t="n">
        <v>1004.3</v>
      </c>
      <c r="D75" s="2" t="n">
        <v>0.12</v>
      </c>
      <c r="E75" s="1" t="n">
        <v>36.13</v>
      </c>
      <c r="F75" s="1" t="n">
        <v>71.98</v>
      </c>
      <c r="G75" s="1" t="n">
        <v>107.62</v>
      </c>
      <c r="H75" s="1" t="n">
        <v>143.05</v>
      </c>
      <c r="I75" s="1" t="n">
        <v>177.86</v>
      </c>
      <c r="J75" s="3" t="n">
        <f aca="false">INDEX(LINEST($D$1:$I$1,$D75:$I75,,TRUE()),1)</f>
        <v>0.281092564966878</v>
      </c>
      <c r="K75" s="4" t="n">
        <f aca="false">INDEX(LINEST($D$1:$I$1,$D75:$I75,,TRUE()),2)</f>
        <v>0.000810786131808514</v>
      </c>
      <c r="L75" s="4" t="n">
        <f aca="false">INDEX(LINEST($D$1:$I$1,$D75:$I75,,TRUE()),3)</f>
        <v>0.999966721829315</v>
      </c>
    </row>
    <row r="76" customFormat="false" ht="12.75" hidden="false" customHeight="false" outlineLevel="0" collapsed="false">
      <c r="A76" s="1" t="s">
        <v>150</v>
      </c>
      <c r="B76" s="2" t="n">
        <v>27.3</v>
      </c>
      <c r="C76" s="1" t="n">
        <v>1004.3</v>
      </c>
      <c r="D76" s="2" t="n">
        <v>-0.48</v>
      </c>
      <c r="E76" s="1" t="n">
        <v>35.01</v>
      </c>
      <c r="F76" s="1" t="n">
        <v>70.35</v>
      </c>
      <c r="G76" s="1" t="n">
        <v>105.52</v>
      </c>
      <c r="H76" s="1" t="n">
        <v>140.33</v>
      </c>
      <c r="I76" s="1" t="n">
        <v>174.82</v>
      </c>
      <c r="J76" s="3" t="n">
        <f aca="false">INDEX(LINEST($D$1:$I$1,$D76:$I76,,TRUE()),1)</f>
        <v>0.285094038755092</v>
      </c>
      <c r="K76" s="4" t="n">
        <f aca="false">INDEX(LINEST($D$1:$I$1,$D76:$I76,,TRUE()),2)</f>
        <v>0.000762154960012006</v>
      </c>
      <c r="L76" s="4" t="n">
        <f aca="false">INDEX(LINEST($D$1:$I$1,$D76:$I76,,TRUE()),3)</f>
        <v>0.999971413705466</v>
      </c>
    </row>
    <row r="77" customFormat="false" ht="12.75" hidden="false" customHeight="false" outlineLevel="0" collapsed="false">
      <c r="A77" s="1" t="s">
        <v>151</v>
      </c>
      <c r="B77" s="2" t="n">
        <v>26</v>
      </c>
      <c r="C77" s="1" t="n">
        <v>1023.1</v>
      </c>
      <c r="D77" s="2" t="n">
        <v>1.34</v>
      </c>
      <c r="E77" s="1" t="n">
        <v>26.23</v>
      </c>
      <c r="F77" s="1" t="n">
        <v>51.09</v>
      </c>
      <c r="G77" s="1" t="n">
        <v>75.95</v>
      </c>
      <c r="H77" s="1" t="n">
        <v>100.77</v>
      </c>
      <c r="I77" s="1" t="n">
        <v>125.44</v>
      </c>
      <c r="J77" s="3" t="n">
        <f aca="false">INDEX(LINEST($D$1:$I$1,$D77:$I77,,TRUE()),1)</f>
        <v>0.402770225597861</v>
      </c>
      <c r="K77" s="4" t="n">
        <f aca="false">INDEX(LINEST($D$1:$I$1,$D77:$I77,,TRUE()),2)</f>
        <v>0.000290713202265836</v>
      </c>
      <c r="L77" s="4" t="n">
        <f aca="false">INDEX(LINEST($D$1:$I$1,$D77:$I77,,TRUE()),3)</f>
        <v>0.999997916114371</v>
      </c>
      <c r="M77" s="13" t="s">
        <v>22</v>
      </c>
      <c r="O77" s="13" t="s">
        <v>152</v>
      </c>
    </row>
    <row r="78" customFormat="false" ht="12.75" hidden="false" customHeight="false" outlineLevel="0" collapsed="false">
      <c r="A78" s="1" t="s">
        <v>153</v>
      </c>
      <c r="B78" s="2" t="n">
        <v>26</v>
      </c>
      <c r="C78" s="1" t="n">
        <v>1022.6</v>
      </c>
      <c r="D78" s="2" t="n">
        <v>1.2</v>
      </c>
      <c r="E78" s="1" t="n">
        <v>25.9</v>
      </c>
      <c r="F78" s="1" t="n">
        <v>50.59</v>
      </c>
      <c r="G78" s="1" t="n">
        <v>75.28</v>
      </c>
      <c r="H78" s="1" t="n">
        <v>99.87</v>
      </c>
      <c r="I78" s="1" t="n">
        <v>124.37</v>
      </c>
      <c r="J78" s="3" t="n">
        <f aca="false">INDEX(LINEST($D$1:$I$1,$D78:$I78,,TRUE()),1)</f>
        <v>0.40581962485484</v>
      </c>
      <c r="K78" s="4" t="n">
        <f aca="false">INDEX(LINEST($D$1:$I$1,$D78:$I78,,TRUE()),2)</f>
        <v>0.000318906300838542</v>
      </c>
      <c r="L78" s="4" t="n">
        <f aca="false">INDEX(LINEST($D$1:$I$1,$D78:$I78,,TRUE()),3)</f>
        <v>0.999997529874447</v>
      </c>
    </row>
    <row r="79" customFormat="false" ht="12.75" hidden="false" customHeight="false" outlineLevel="0" collapsed="false">
      <c r="A79" s="1" t="s">
        <v>154</v>
      </c>
      <c r="B79" s="2" t="n">
        <v>26</v>
      </c>
      <c r="C79" s="1" t="n">
        <v>1023.1</v>
      </c>
      <c r="D79" s="2" t="n">
        <v>1.47</v>
      </c>
      <c r="E79" s="1" t="n">
        <v>26.83</v>
      </c>
      <c r="F79" s="1" t="n">
        <v>52.39</v>
      </c>
      <c r="G79" s="1" t="n">
        <v>77.82</v>
      </c>
      <c r="H79" s="1" t="n">
        <v>100.22</v>
      </c>
      <c r="I79" s="1" t="n">
        <v>128.46</v>
      </c>
      <c r="J79" s="3" t="n">
        <f aca="false">INDEX(LINEST($D$1:$I$1,$D79:$I79,,TRUE()),1)</f>
        <v>0.397264080707014</v>
      </c>
      <c r="K79" s="4" t="n">
        <f aca="false">INDEX(LINEST($D$1:$I$1,$D79:$I79,,TRUE()),2)</f>
        <v>0.00461842800064564</v>
      </c>
      <c r="L79" s="4" t="n">
        <f aca="false">INDEX(LINEST($D$1:$I$1,$D79:$I79,,TRUE()),3)</f>
        <v>0.999459675047317</v>
      </c>
      <c r="M79" s="13" t="s">
        <v>155</v>
      </c>
    </row>
    <row r="80" customFormat="false" ht="12.75" hidden="false" customHeight="false" outlineLevel="0" collapsed="false">
      <c r="A80" s="1" t="s">
        <v>156</v>
      </c>
      <c r="B80" s="2" t="n">
        <v>26</v>
      </c>
      <c r="C80" s="1" t="n">
        <v>1023.1</v>
      </c>
      <c r="D80" s="2" t="n">
        <v>1.27</v>
      </c>
      <c r="E80" s="1" t="n">
        <v>25.78</v>
      </c>
      <c r="F80" s="1" t="n">
        <v>50.31</v>
      </c>
      <c r="G80" s="1" t="n">
        <v>74.83</v>
      </c>
      <c r="H80" s="1" t="n">
        <v>99.31</v>
      </c>
      <c r="I80" s="1" t="n">
        <v>123.69</v>
      </c>
      <c r="J80" s="3" t="n">
        <f aca="false">INDEX(LINEST($D$1:$I$1,$D80:$I80,,TRUE()),1)</f>
        <v>0.408300910907658</v>
      </c>
      <c r="K80" s="4" t="n">
        <f aca="false">INDEX(LINEST($D$1:$I$1,$D80:$I80,,TRUE()),2)</f>
        <v>0.000211642732002562</v>
      </c>
      <c r="L80" s="4" t="n">
        <f aca="false">INDEX(LINEST($D$1:$I$1,$D80:$I80,,TRUE()),3)</f>
        <v>0.999998925254724</v>
      </c>
      <c r="O80" s="13" t="s">
        <v>157</v>
      </c>
    </row>
    <row r="81" customFormat="false" ht="12.75" hidden="false" customHeight="false" outlineLevel="0" collapsed="false">
      <c r="A81" s="1" t="s">
        <v>158</v>
      </c>
      <c r="B81" s="2" t="n">
        <v>26</v>
      </c>
      <c r="C81" s="1" t="n">
        <v>1023.6</v>
      </c>
      <c r="D81" s="2" t="n">
        <v>0.86</v>
      </c>
      <c r="E81" s="1" t="n">
        <v>25.46</v>
      </c>
      <c r="F81" s="1" t="n">
        <v>50.09</v>
      </c>
      <c r="G81" s="1" t="n">
        <v>74.7</v>
      </c>
      <c r="H81" s="1" t="n">
        <v>99.26</v>
      </c>
      <c r="I81" s="1" t="n">
        <v>123.69</v>
      </c>
      <c r="J81" s="3" t="n">
        <f aca="false">INDEX(LINEST($D$1:$I$1,$D81:$I81,,TRUE()),1)</f>
        <v>0.406900285071141</v>
      </c>
      <c r="K81" s="4" t="n">
        <f aca="false">INDEX(LINEST($D$1:$I$1,$D81:$I81,,TRUE()),2)</f>
        <v>0.000277425185963875</v>
      </c>
      <c r="L81" s="4" t="n">
        <f aca="false">INDEX(LINEST($D$1:$I$1,$D81:$I81,,TRUE()),3)</f>
        <v>0.999998140590835</v>
      </c>
      <c r="M81" s="15" t="s">
        <v>159</v>
      </c>
      <c r="N81" s="15"/>
      <c r="O81" s="15"/>
      <c r="P81" s="15"/>
      <c r="Q81" s="15"/>
      <c r="R81" s="15"/>
      <c r="S81" s="15"/>
    </row>
    <row r="82" customFormat="false" ht="12.75" hidden="false" customHeight="false" outlineLevel="0" collapsed="false">
      <c r="A82" s="1" t="s">
        <v>160</v>
      </c>
      <c r="B82" s="2" t="n">
        <v>26</v>
      </c>
      <c r="C82" s="1" t="n">
        <v>1023.3</v>
      </c>
      <c r="D82" s="2" t="n">
        <v>0.32</v>
      </c>
      <c r="E82" s="1" t="n">
        <v>24.7</v>
      </c>
      <c r="F82" s="1" t="n">
        <v>49.05</v>
      </c>
      <c r="G82" s="1" t="n">
        <v>73.37</v>
      </c>
      <c r="H82" s="1" t="n">
        <v>97.66</v>
      </c>
      <c r="I82" s="1" t="n">
        <v>121.84</v>
      </c>
      <c r="J82" s="3" t="n">
        <f aca="false">INDEX(LINEST($D$1:$I$1,$D82:$I82,,TRUE()),1)</f>
        <v>0.41137675337495</v>
      </c>
      <c r="K82" s="4" t="n">
        <f aca="false">INDEX(LINEST($D$1:$I$1,$D82:$I82,,TRUE()),2)</f>
        <v>0.0002820749428441</v>
      </c>
      <c r="L82" s="4" t="n">
        <f aca="false">INDEX(LINEST($D$1:$I$1,$D82:$I82,,TRUE()),3)</f>
        <v>0.999998119346877</v>
      </c>
      <c r="M82" s="15" t="s">
        <v>16</v>
      </c>
      <c r="N82" s="15" t="s">
        <v>16</v>
      </c>
      <c r="O82" s="15" t="s">
        <v>16</v>
      </c>
      <c r="P82" s="15"/>
      <c r="Q82" s="15"/>
      <c r="R82" s="15"/>
      <c r="S82" s="15"/>
    </row>
    <row r="83" customFormat="false" ht="12.75" hidden="false" customHeight="false" outlineLevel="0" collapsed="false">
      <c r="A83" s="1" t="s">
        <v>161</v>
      </c>
      <c r="B83" s="2" t="n">
        <v>25</v>
      </c>
      <c r="C83" s="1" t="n">
        <v>1008.4</v>
      </c>
      <c r="D83" s="2" t="n">
        <v>1.19</v>
      </c>
      <c r="E83" s="1" t="n">
        <v>26.06</v>
      </c>
      <c r="F83" s="1" t="n">
        <v>50.97</v>
      </c>
      <c r="G83" s="1" t="n">
        <v>75.86</v>
      </c>
      <c r="H83" s="1" t="n">
        <v>100.7</v>
      </c>
      <c r="I83" s="1" t="n">
        <v>125.45</v>
      </c>
      <c r="J83" s="3" t="n">
        <f aca="false">INDEX(LINEST($D$1:$I$1,$D83:$I83,,TRUE()),1)</f>
        <v>0.402247534851394</v>
      </c>
      <c r="K83" s="4" t="n">
        <f aca="false">INDEX(LINEST($D$1:$I$1,$D83:$I83,,TRUE()),2)</f>
        <v>0.000214324154104836</v>
      </c>
      <c r="L83" s="4" t="n">
        <f aca="false">INDEX(LINEST($D$1:$I$1,$D83:$I83,,TRUE()),3)</f>
        <v>0.999998864427276</v>
      </c>
      <c r="M83" s="15" t="s">
        <v>162</v>
      </c>
      <c r="N83" s="15" t="s">
        <v>162</v>
      </c>
      <c r="O83" s="15"/>
      <c r="P83" s="15"/>
      <c r="Q83" s="15"/>
      <c r="R83" s="15"/>
      <c r="S83" s="15"/>
    </row>
    <row r="84" customFormat="false" ht="12.75" hidden="false" customHeight="false" outlineLevel="0" collapsed="false">
      <c r="A84" s="1" t="s">
        <v>163</v>
      </c>
      <c r="B84" s="2" t="n">
        <v>25</v>
      </c>
      <c r="C84" s="1" t="n">
        <v>1008.4</v>
      </c>
      <c r="D84" s="2" t="n">
        <v>0.97</v>
      </c>
      <c r="E84" s="1" t="n">
        <v>25.71</v>
      </c>
      <c r="F84" s="1" t="n">
        <v>50.49</v>
      </c>
      <c r="G84" s="1" t="n">
        <v>75.29</v>
      </c>
      <c r="H84" s="1" t="n">
        <v>100.06</v>
      </c>
      <c r="I84" s="1" t="n">
        <v>124.71</v>
      </c>
      <c r="J84" s="3" t="n">
        <f aca="false">INDEX(LINEST($D$1:$I$1,$D84:$I84,,TRUE()),1)</f>
        <v>0.403900222063943</v>
      </c>
      <c r="K84" s="4" t="n">
        <f aca="false">INDEX(LINEST($D$1:$I$1,$D84:$I84,,TRUE()),2)</f>
        <v>0.000174917473033703</v>
      </c>
      <c r="L84" s="4" t="n">
        <f aca="false">INDEX(LINEST($D$1:$I$1,$D84:$I84,,TRUE()),3)</f>
        <v>0.999999249798599</v>
      </c>
      <c r="M84" s="15" t="s">
        <v>18</v>
      </c>
      <c r="N84" s="15"/>
      <c r="O84" s="15" t="s">
        <v>164</v>
      </c>
      <c r="P84" s="15"/>
      <c r="Q84" s="15"/>
      <c r="R84" s="15"/>
      <c r="S84" s="15"/>
    </row>
    <row r="85" customFormat="false" ht="12.75" hidden="false" customHeight="false" outlineLevel="0" collapsed="false">
      <c r="A85" s="1" t="s">
        <v>165</v>
      </c>
      <c r="B85" s="2" t="n">
        <v>25</v>
      </c>
      <c r="C85" s="1" t="n">
        <v>1008.4</v>
      </c>
      <c r="D85" s="2" t="n">
        <v>1.16</v>
      </c>
      <c r="E85" s="1" t="n">
        <v>25.52</v>
      </c>
      <c r="F85" s="1" t="n">
        <v>49.91</v>
      </c>
      <c r="G85" s="1" t="n">
        <v>74.3</v>
      </c>
      <c r="H85" s="1" t="n">
        <v>98.64</v>
      </c>
      <c r="I85" s="1" t="n">
        <v>122.84</v>
      </c>
      <c r="J85" s="3" t="n">
        <f aca="false">INDEX(LINEST($D$1:$I$1,$D85:$I85,,TRUE()),1)</f>
        <v>0.410725114725689</v>
      </c>
      <c r="K85" s="4" t="n">
        <f aca="false">INDEX(LINEST($D$1:$I$1,$D85:$I85,,TRUE()),2)</f>
        <v>0.000267419476187862</v>
      </c>
      <c r="L85" s="4" t="n">
        <f aca="false">INDEX(LINEST($D$1:$I$1,$D85:$I85,,TRUE()),3)</f>
        <v>0.999998304324274</v>
      </c>
      <c r="M85" s="15" t="s">
        <v>166</v>
      </c>
      <c r="N85" s="15" t="s">
        <v>166</v>
      </c>
      <c r="O85" s="15" t="s">
        <v>167</v>
      </c>
      <c r="P85" s="15"/>
      <c r="Q85" s="15"/>
      <c r="R85" s="15"/>
      <c r="S85" s="15"/>
    </row>
    <row r="86" customFormat="false" ht="12.75" hidden="false" customHeight="false" outlineLevel="0" collapsed="false">
      <c r="A86" s="1" t="s">
        <v>168</v>
      </c>
      <c r="B86" s="2" t="n">
        <v>25</v>
      </c>
      <c r="C86" s="1" t="n">
        <v>1008.4</v>
      </c>
      <c r="D86" s="2" t="n">
        <v>1.09</v>
      </c>
      <c r="E86" s="1" t="n">
        <v>25.54</v>
      </c>
      <c r="F86" s="1" t="n">
        <v>49.99</v>
      </c>
      <c r="G86" s="1" t="n">
        <v>74.75</v>
      </c>
      <c r="H86" s="1" t="n">
        <v>98.91</v>
      </c>
      <c r="I86" s="1" t="n">
        <v>123.23</v>
      </c>
      <c r="J86" s="3" t="n">
        <f aca="false">INDEX(LINEST($D$1:$I$1,$D86:$I86,,TRUE()),1)</f>
        <v>0.409080087752955</v>
      </c>
      <c r="K86" s="4" t="n">
        <f aca="false">INDEX(LINEST($D$1:$I$1,$D86:$I86,,TRUE()),2)</f>
        <v>0.000632739285946153</v>
      </c>
      <c r="L86" s="4" t="n">
        <f aca="false">INDEX(LINEST($D$1:$I$1,$D86:$I86,,TRUE()),3)</f>
        <v>0.999990430510845</v>
      </c>
      <c r="M86" s="13" t="s">
        <v>169</v>
      </c>
      <c r="N86" s="18" t="s">
        <v>169</v>
      </c>
    </row>
    <row r="87" customFormat="false" ht="12.75" hidden="false" customHeight="false" outlineLevel="0" collapsed="false">
      <c r="A87" s="1" t="s">
        <v>170</v>
      </c>
      <c r="B87" s="2" t="n">
        <v>25</v>
      </c>
      <c r="C87" s="1" t="n">
        <v>1008.4</v>
      </c>
      <c r="D87" s="2" t="n">
        <v>0.43</v>
      </c>
      <c r="E87" s="1" t="n">
        <v>25.06</v>
      </c>
      <c r="F87" s="1" t="n">
        <v>49.7</v>
      </c>
      <c r="G87" s="1" t="n">
        <v>74.37</v>
      </c>
      <c r="H87" s="1" t="n">
        <v>98.98</v>
      </c>
      <c r="I87" s="1" t="n">
        <v>123.5</v>
      </c>
      <c r="J87" s="3" t="n">
        <f aca="false">INDEX(LINEST($D$1:$I$1,$D87:$I87,,TRUE()),1)</f>
        <v>0.406135798361398</v>
      </c>
      <c r="K87" s="4" t="n">
        <f aca="false">INDEX(LINEST($D$1:$I$1,$D87:$I87,,TRUE()),2)</f>
        <v>0.000185381674796595</v>
      </c>
      <c r="L87" s="4" t="n">
        <f aca="false">INDEX(LINEST($D$1:$I$1,$D87:$I87,,TRUE()),3)</f>
        <v>0.999999166605387</v>
      </c>
      <c r="M87" s="13" t="s">
        <v>171</v>
      </c>
      <c r="N87" s="13" t="s">
        <v>171</v>
      </c>
      <c r="O87" s="13" t="s">
        <v>172</v>
      </c>
    </row>
    <row r="88" customFormat="false" ht="12.75" hidden="false" customHeight="false" outlineLevel="0" collapsed="false">
      <c r="A88" s="1" t="s">
        <v>173</v>
      </c>
      <c r="B88" s="2" t="n">
        <v>25.2</v>
      </c>
      <c r="C88" s="1" t="n">
        <v>1026.5</v>
      </c>
      <c r="D88" s="2" t="n">
        <v>0.56</v>
      </c>
      <c r="E88" s="1" t="n">
        <v>25.15</v>
      </c>
      <c r="F88" s="1" t="n">
        <v>49.73</v>
      </c>
      <c r="G88" s="1" t="n">
        <v>74.23</v>
      </c>
      <c r="H88" s="1" t="n">
        <v>98.73</v>
      </c>
      <c r="I88" s="1" t="n">
        <v>123.4</v>
      </c>
      <c r="J88" s="3" t="n">
        <f aca="false">INDEX(LINEST($D$1:$I$1,$D88:$I88,,TRUE()),1)</f>
        <v>0.407241563441163</v>
      </c>
      <c r="K88" s="4" t="n">
        <f aca="false">INDEX(LINEST($D$1:$I$1,$D88:$I88,,TRUE()),2)</f>
        <v>0.000191853695132454</v>
      </c>
      <c r="L88" s="4" t="n">
        <f aca="false">INDEX(LINEST($D$1:$I$1,$D88:$I88,,TRUE()),3)</f>
        <v>0.999999112239638</v>
      </c>
      <c r="M88" s="15" t="s">
        <v>30</v>
      </c>
      <c r="N88" s="15" t="s">
        <v>30</v>
      </c>
      <c r="O88" s="15"/>
      <c r="P88" s="15"/>
      <c r="Q88" s="15"/>
      <c r="R88" s="15"/>
      <c r="S88" s="15"/>
    </row>
    <row r="89" customFormat="false" ht="12.75" hidden="false" customHeight="false" outlineLevel="0" collapsed="false">
      <c r="A89" s="1" t="s">
        <v>174</v>
      </c>
      <c r="B89" s="2" t="n">
        <v>25.2</v>
      </c>
      <c r="C89" s="1" t="n">
        <v>1027</v>
      </c>
      <c r="D89" s="2" t="n">
        <v>0.63</v>
      </c>
      <c r="E89" s="1" t="n">
        <v>24.59</v>
      </c>
      <c r="F89" s="1" t="n">
        <v>48.48</v>
      </c>
      <c r="G89" s="1" t="n">
        <v>72.41</v>
      </c>
      <c r="H89" s="1" t="n">
        <v>96.4</v>
      </c>
      <c r="I89" s="1" t="n">
        <v>120.41</v>
      </c>
      <c r="J89" s="3" t="n">
        <f aca="false">INDEX(LINEST($D$1:$I$1,$D89:$I89,,TRUE()),1)</f>
        <v>0.417531250573222</v>
      </c>
      <c r="K89" s="4" t="n">
        <f aca="false">INDEX(LINEST($D$1:$I$1,$D89:$I89,,TRUE()),2)</f>
        <v>0.000177808191559155</v>
      </c>
      <c r="L89" s="4" t="n">
        <f aca="false">INDEX(LINEST($D$1:$I$1,$D89:$I89,,TRUE()),3)</f>
        <v>0.999999274587168</v>
      </c>
      <c r="M89" s="15" t="s">
        <v>37</v>
      </c>
      <c r="N89" s="15" t="s">
        <v>37</v>
      </c>
      <c r="O89" s="19" t="s">
        <v>37</v>
      </c>
      <c r="P89" s="15"/>
      <c r="Q89" s="15"/>
      <c r="R89" s="15"/>
      <c r="S89" s="15"/>
    </row>
    <row r="90" customFormat="false" ht="12.75" hidden="false" customHeight="false" outlineLevel="0" collapsed="false">
      <c r="A90" s="1" t="s">
        <v>175</v>
      </c>
      <c r="B90" s="2" t="n">
        <v>25.2</v>
      </c>
      <c r="C90" s="1" t="n">
        <v>1027.2</v>
      </c>
      <c r="D90" s="2" t="n">
        <v>0.2</v>
      </c>
      <c r="E90" s="1" t="n">
        <v>24.64</v>
      </c>
      <c r="F90" s="1" t="n">
        <v>49.04</v>
      </c>
      <c r="G90" s="1" t="n">
        <v>73.46</v>
      </c>
      <c r="H90" s="1" t="n">
        <v>97.85</v>
      </c>
      <c r="I90" s="1" t="n">
        <v>122.25</v>
      </c>
      <c r="J90" s="3" t="n">
        <f aca="false">INDEX(LINEST($D$1:$I$1,$D90:$I90,,TRUE()),1)</f>
        <v>0.409692109689641</v>
      </c>
      <c r="K90" s="4" t="n">
        <f aca="false">INDEX(LINEST($D$1:$I$1,$D90:$I90,,TRUE()),2)</f>
        <v>6.06606674947218E-005</v>
      </c>
      <c r="L90" s="4" t="n">
        <f aca="false">INDEX(LINEST($D$1:$I$1,$D90:$I90,,TRUE()),3)</f>
        <v>0.999999912308172</v>
      </c>
      <c r="M90" s="15" t="s">
        <v>36</v>
      </c>
      <c r="N90" s="15" t="s">
        <v>36</v>
      </c>
      <c r="O90" s="19" t="s">
        <v>36</v>
      </c>
      <c r="P90" s="15"/>
      <c r="Q90" s="15"/>
      <c r="R90" s="15"/>
      <c r="S90" s="15"/>
    </row>
    <row r="91" customFormat="false" ht="12.75" hidden="false" customHeight="false" outlineLevel="0" collapsed="false">
      <c r="A91" s="1" t="s">
        <v>176</v>
      </c>
      <c r="B91" s="2" t="n">
        <v>25.2</v>
      </c>
      <c r="C91" s="1" t="n">
        <v>1027.2</v>
      </c>
      <c r="D91" s="2" t="n">
        <v>0.03</v>
      </c>
      <c r="E91" s="1" t="n">
        <v>24.11</v>
      </c>
      <c r="F91" s="1" t="n">
        <v>48.31</v>
      </c>
      <c r="G91" s="1" t="n">
        <v>72.43</v>
      </c>
      <c r="H91" s="1" t="n">
        <v>96.49</v>
      </c>
      <c r="I91" s="1" t="n">
        <v>120.7</v>
      </c>
      <c r="J91" s="3" t="n">
        <f aca="false">INDEX(LINEST($D$1:$I$1,$D91:$I91,,TRUE()),1)</f>
        <v>0.414392183331251</v>
      </c>
      <c r="K91" s="4" t="n">
        <f aca="false">INDEX(LINEST($D$1:$I$1,$D91:$I91,,TRUE()),2)</f>
        <v>0.000163535621254824</v>
      </c>
      <c r="L91" s="4" t="n">
        <f aca="false">INDEX(LINEST($D$1:$I$1,$D91:$I91,,TRUE()),3)</f>
        <v>0.999999377038308</v>
      </c>
    </row>
    <row r="92" customFormat="false" ht="12.75" hidden="false" customHeight="false" outlineLevel="0" collapsed="false">
      <c r="A92" s="1" t="s">
        <v>177</v>
      </c>
      <c r="B92" s="2" t="n">
        <v>25.2</v>
      </c>
      <c r="C92" s="1" t="n">
        <v>1027.5</v>
      </c>
      <c r="D92" s="2" t="n">
        <v>0.17</v>
      </c>
      <c r="E92" s="1" t="n">
        <v>24.68</v>
      </c>
      <c r="F92" s="1" t="n">
        <v>49.23</v>
      </c>
      <c r="G92" s="1" t="n">
        <v>73.72</v>
      </c>
      <c r="H92" s="1" t="n">
        <v>98.3</v>
      </c>
      <c r="I92" s="1" t="n">
        <v>122.91</v>
      </c>
      <c r="J92" s="3" t="n">
        <f aca="false">INDEX(LINEST($D$1:$I$1,$D92:$I92,,TRUE()),1)</f>
        <v>0.407426562818474</v>
      </c>
      <c r="K92" s="4" t="n">
        <f aca="false">INDEX(LINEST($D$1:$I$1,$D92:$I92,,TRUE()),2)</f>
        <v>0.000158249921762981</v>
      </c>
      <c r="L92" s="4" t="n">
        <f aca="false">INDEX(LINEST($D$1:$I$1,$D92:$I92,,TRUE()),3)</f>
        <v>0.9999993965406</v>
      </c>
      <c r="M92" s="13" t="s">
        <v>178</v>
      </c>
      <c r="N92" s="13" t="s">
        <v>178</v>
      </c>
      <c r="O92" s="15" t="s">
        <v>178</v>
      </c>
    </row>
    <row r="93" customFormat="false" ht="12.75" hidden="false" customHeight="false" outlineLevel="0" collapsed="false">
      <c r="A93" s="15" t="s">
        <v>179</v>
      </c>
      <c r="B93" s="2" t="n">
        <v>25.2</v>
      </c>
      <c r="C93" s="1" t="n">
        <v>1014.2</v>
      </c>
      <c r="D93" s="2" t="n">
        <v>1.52</v>
      </c>
      <c r="E93" s="1" t="n">
        <v>24.88</v>
      </c>
      <c r="F93" s="1" t="n">
        <v>48.35</v>
      </c>
      <c r="G93" s="1" t="n">
        <v>71.44</v>
      </c>
      <c r="H93" s="1" t="n">
        <v>94.83</v>
      </c>
      <c r="I93" s="1" t="n">
        <v>118.35</v>
      </c>
      <c r="J93" s="3" t="n">
        <f aca="false">INDEX(LINEST($D$1:$I$1,$D93:$I93,,TRUE()),1)</f>
        <v>0.428347228961337</v>
      </c>
      <c r="K93" s="4" t="n">
        <f aca="false">INDEX(LINEST($D$1:$I$1,$D93:$I93,,TRUE()),2)</f>
        <v>0.000480640938700012</v>
      </c>
      <c r="L93" s="4" t="n">
        <f aca="false">INDEX(LINEST($D$1:$I$1,$D93:$I93,,TRUE()),3)</f>
        <v>0.999994963748625</v>
      </c>
      <c r="M93" s="13" t="s">
        <v>44</v>
      </c>
      <c r="N93" s="18" t="s">
        <v>180</v>
      </c>
      <c r="O93" s="15" t="s">
        <v>181</v>
      </c>
    </row>
    <row r="94" customFormat="false" ht="12.75" hidden="false" customHeight="false" outlineLevel="0" collapsed="false">
      <c r="A94" s="15" t="s">
        <v>182</v>
      </c>
      <c r="B94" s="2" t="n">
        <v>25.2</v>
      </c>
      <c r="C94" s="1" t="n">
        <v>1014.2</v>
      </c>
      <c r="D94" s="2" t="n">
        <v>0.81</v>
      </c>
      <c r="E94" s="1" t="n">
        <v>25.7</v>
      </c>
      <c r="F94" s="1" t="n">
        <v>50.78</v>
      </c>
      <c r="G94" s="1" t="n">
        <v>75.55</v>
      </c>
      <c r="H94" s="1" t="n">
        <v>100.35</v>
      </c>
      <c r="I94" s="1" t="n">
        <v>125.25</v>
      </c>
      <c r="J94" s="3" t="n">
        <f aca="false">INDEX(LINEST($D$1:$I$1,$D94:$I94,,TRUE()),1)</f>
        <v>0.401872696371929</v>
      </c>
      <c r="K94" s="4" t="n">
        <f aca="false">INDEX(LINEST($D$1:$I$1,$D94:$I94,,TRUE()),2)</f>
        <v>0.00034491535413002</v>
      </c>
      <c r="L94" s="4" t="n">
        <f aca="false">INDEX(LINEST($D$1:$I$1,$D94:$I94,,TRUE()),3)</f>
        <v>0.999997053497829</v>
      </c>
      <c r="M94" s="13" t="s">
        <v>183</v>
      </c>
      <c r="N94" s="13" t="s">
        <v>183</v>
      </c>
    </row>
    <row r="95" customFormat="false" ht="12.75" hidden="false" customHeight="false" outlineLevel="0" collapsed="false">
      <c r="A95" s="15" t="s">
        <v>184</v>
      </c>
      <c r="B95" s="2" t="n">
        <v>25.2</v>
      </c>
      <c r="C95" s="1" t="n">
        <v>1014.2</v>
      </c>
      <c r="D95" s="2" t="n">
        <v>0.38</v>
      </c>
      <c r="E95" s="1" t="n">
        <v>24.8</v>
      </c>
      <c r="F95" s="1" t="n">
        <v>49.22</v>
      </c>
      <c r="G95" s="1" t="n">
        <v>73.63</v>
      </c>
      <c r="H95" s="1" t="n">
        <v>98.05</v>
      </c>
      <c r="I95" s="1" t="n">
        <v>122.47</v>
      </c>
      <c r="J95" s="3" t="n">
        <f aca="false">INDEX(LINEST($D$1:$I$1,$D95:$I95,,TRUE()),1)</f>
        <v>0.409543533131931</v>
      </c>
      <c r="K95" s="4" t="n">
        <f aca="false">INDEX(LINEST($D$1:$I$1,$D95:$I95,,TRUE()),2)</f>
        <v>1.17383681870111E-005</v>
      </c>
      <c r="L95" s="4" t="n">
        <f aca="false">INDEX(LINEST($D$1:$I$1,$D95:$I95,,TRUE()),3)</f>
        <v>0.999999996713942</v>
      </c>
      <c r="M95" s="13" t="s">
        <v>183</v>
      </c>
      <c r="N95" s="13" t="s">
        <v>183</v>
      </c>
    </row>
    <row r="96" customFormat="false" ht="12.75" hidden="false" customHeight="false" outlineLevel="0" collapsed="false">
      <c r="A96" s="15" t="s">
        <v>185</v>
      </c>
      <c r="B96" s="2" t="n">
        <v>25.2</v>
      </c>
      <c r="C96" s="1" t="n">
        <v>1013.6</v>
      </c>
      <c r="D96" s="2" t="n">
        <v>0.56</v>
      </c>
      <c r="E96" s="1" t="n">
        <v>25.63</v>
      </c>
      <c r="F96" s="1" t="n">
        <v>50.8</v>
      </c>
      <c r="G96" s="1" t="n">
        <v>75.81</v>
      </c>
      <c r="H96" s="1" t="n">
        <v>100.86</v>
      </c>
      <c r="I96" s="1" t="n">
        <v>125.98</v>
      </c>
      <c r="J96" s="3" t="n">
        <f aca="false">INDEX(LINEST($D$1:$I$1,$D96:$I96,,TRUE()),1)</f>
        <v>0.398723853525081</v>
      </c>
      <c r="K96" s="4" t="n">
        <f aca="false">INDEX(LINEST($D$1:$I$1,$D96:$I96,,TRUE()),2)</f>
        <v>0.000151220907122032</v>
      </c>
      <c r="L96" s="4" t="n">
        <f aca="false">INDEX(LINEST($D$1:$I$1,$D96:$I96,,TRUE()),3)</f>
        <v>0.999999424640904</v>
      </c>
      <c r="M96" s="13" t="s">
        <v>44</v>
      </c>
      <c r="N96" s="15" t="s">
        <v>32</v>
      </c>
      <c r="O96" s="15"/>
      <c r="P96" s="15"/>
      <c r="Q96" s="15"/>
      <c r="R96" s="15"/>
      <c r="S96" s="15"/>
    </row>
    <row r="97" customFormat="false" ht="12.75" hidden="false" customHeight="false" outlineLevel="0" collapsed="false">
      <c r="A97" s="15" t="s">
        <v>186</v>
      </c>
      <c r="B97" s="2" t="n">
        <v>25.2</v>
      </c>
      <c r="C97" s="1" t="n">
        <v>1013.6</v>
      </c>
      <c r="D97" s="2" t="n">
        <v>1.21</v>
      </c>
      <c r="E97" s="1" t="n">
        <v>25.14</v>
      </c>
      <c r="F97" s="1" t="n">
        <v>49.28</v>
      </c>
      <c r="G97" s="1" t="n">
        <v>73.14</v>
      </c>
      <c r="H97" s="1" t="n">
        <v>97.13</v>
      </c>
      <c r="I97" s="1" t="n">
        <v>121.52</v>
      </c>
      <c r="J97" s="3" t="n">
        <f aca="false">INDEX(LINEST($D$1:$I$1,$D97:$I97,,TRUE()),1)</f>
        <v>0.415979739390162</v>
      </c>
      <c r="K97" s="4" t="n">
        <f aca="false">INDEX(LINEST($D$1:$I$1,$D97:$I97,,TRUE()),2)</f>
        <v>0.000605563094262747</v>
      </c>
      <c r="L97" s="4" t="n">
        <f aca="false">INDEX(LINEST($D$1:$I$1,$D97:$I97,,TRUE()),3)</f>
        <v>0.999991523223126</v>
      </c>
      <c r="O97" s="13" t="s">
        <v>183</v>
      </c>
      <c r="P97" s="13" t="s">
        <v>37</v>
      </c>
    </row>
    <row r="98" customFormat="false" ht="12.75" hidden="false" customHeight="false" outlineLevel="0" collapsed="false">
      <c r="A98" s="15" t="s">
        <v>187</v>
      </c>
      <c r="B98" s="2" t="n">
        <v>25.2</v>
      </c>
      <c r="C98" s="1" t="n">
        <v>1013.6</v>
      </c>
      <c r="D98" s="2" t="n">
        <v>0.4</v>
      </c>
      <c r="E98" s="1" t="n">
        <v>25.09</v>
      </c>
      <c r="F98" s="1" t="n">
        <v>49.79</v>
      </c>
      <c r="G98" s="1" t="n">
        <v>74.48</v>
      </c>
      <c r="H98" s="1" t="n">
        <v>99.18</v>
      </c>
      <c r="I98" s="1" t="n">
        <v>123.87</v>
      </c>
      <c r="J98" s="3" t="n">
        <f aca="false">INDEX(LINEST($D$1:$I$1,$D98:$I98,,TRUE()),1)</f>
        <v>0.404947297700535</v>
      </c>
      <c r="K98" s="4" t="n">
        <f aca="false">INDEX(LINEST($D$1:$I$1,$D98:$I98,,TRUE()),2)</f>
        <v>1.14763713492333E-005</v>
      </c>
      <c r="L98" s="4" t="n">
        <f aca="false">INDEX(LINEST($D$1:$I$1,$D98:$I98,,TRUE()),3)</f>
        <v>0.999999996787285</v>
      </c>
      <c r="N98" s="13" t="s">
        <v>183</v>
      </c>
    </row>
    <row r="99" customFormat="false" ht="12.75" hidden="false" customHeight="false" outlineLevel="0" collapsed="false">
      <c r="A99" s="15" t="s">
        <v>188</v>
      </c>
      <c r="B99" s="2" t="n">
        <v>25.2</v>
      </c>
      <c r="C99" s="1" t="n">
        <v>1013.6</v>
      </c>
      <c r="D99" s="2" t="n">
        <v>0.03</v>
      </c>
      <c r="E99" s="1" t="n">
        <v>23.73</v>
      </c>
      <c r="F99" s="1" t="n">
        <v>47.44</v>
      </c>
      <c r="G99" s="1" t="n">
        <v>71.14</v>
      </c>
      <c r="H99" s="1" t="n">
        <v>94.9</v>
      </c>
      <c r="I99" s="1" t="n">
        <v>118.55</v>
      </c>
      <c r="J99" s="3" t="n">
        <f aca="false">INDEX(LINEST($D$1:$I$1,$D99:$I99,,TRUE()),1)</f>
        <v>0.421783209299463</v>
      </c>
      <c r="K99" s="4" t="n">
        <f aca="false">INDEX(LINEST($D$1:$I$1,$D99:$I99,,TRUE()),2)</f>
        <v>9.76831994225757E-005</v>
      </c>
      <c r="L99" s="4" t="n">
        <f aca="false">INDEX(LINEST($D$1:$I$1,$D99:$I99,,TRUE()),3)</f>
        <v>0.999999785453677</v>
      </c>
      <c r="M99" s="13" t="s">
        <v>44</v>
      </c>
    </row>
    <row r="100" customFormat="false" ht="12.75" hidden="false" customHeight="false" outlineLevel="0" collapsed="false">
      <c r="A100" s="15" t="s">
        <v>189</v>
      </c>
      <c r="B100" s="2" t="n">
        <v>25.2</v>
      </c>
      <c r="C100" s="1" t="n">
        <v>1013.6</v>
      </c>
      <c r="D100" s="2" t="n">
        <v>1.33</v>
      </c>
      <c r="E100" s="1" t="n">
        <v>25.23</v>
      </c>
      <c r="F100" s="1" t="n">
        <v>49.34</v>
      </c>
      <c r="G100" s="1" t="n">
        <v>73.27</v>
      </c>
      <c r="H100" s="1" t="n">
        <v>97.12</v>
      </c>
      <c r="I100" s="1" t="n">
        <v>121.18</v>
      </c>
      <c r="J100" s="3" t="n">
        <f aca="false">INDEX(LINEST($D$1:$I$1,$D100:$I100,,TRUE()),1)</f>
        <v>0.417237135717623</v>
      </c>
      <c r="K100" s="4" t="n">
        <f aca="false">INDEX(LINEST($D$1:$I$1,$D100:$I100,,TRUE()),2)</f>
        <v>0.000279603232379485</v>
      </c>
      <c r="L100" s="4" t="n">
        <f aca="false">INDEX(LINEST($D$1:$I$1,$D100:$I100,,TRUE()),3)</f>
        <v>0.999998203704938</v>
      </c>
      <c r="M100" s="13" t="s">
        <v>44</v>
      </c>
      <c r="O100" s="13" t="s">
        <v>171</v>
      </c>
    </row>
    <row r="101" customFormat="false" ht="12.75" hidden="false" customHeight="false" outlineLevel="0" collapsed="false">
      <c r="A101" s="15" t="s">
        <v>190</v>
      </c>
      <c r="B101" s="2" t="n">
        <v>25.2</v>
      </c>
      <c r="C101" s="1" t="n">
        <v>1013.3</v>
      </c>
      <c r="D101" s="2" t="n">
        <v>0.47</v>
      </c>
      <c r="E101" s="1" t="n">
        <v>24.07</v>
      </c>
      <c r="F101" s="1" t="n">
        <v>47.9</v>
      </c>
      <c r="G101" s="1" t="n">
        <v>71.51</v>
      </c>
      <c r="H101" s="1" t="n">
        <v>95.21</v>
      </c>
      <c r="I101" s="1" t="n">
        <v>118.9</v>
      </c>
      <c r="J101" s="3" t="n">
        <f aca="false">INDEX(LINEST($D$1:$I$1,$D101:$I101,,TRUE()),1)</f>
        <v>0.422103323788527</v>
      </c>
      <c r="K101" s="4" t="n">
        <f aca="false">INDEX(LINEST($D$1:$I$1,$D101:$I101,,TRUE()),2)</f>
        <v>0.000215816312649831</v>
      </c>
      <c r="L101" s="4" t="n">
        <f aca="false">INDEX(LINEST($D$1:$I$1,$D101:$I101,,TRUE()),3)</f>
        <v>0.999998954339917</v>
      </c>
      <c r="M101" s="13" t="s">
        <v>44</v>
      </c>
      <c r="O101" s="13" t="s">
        <v>191</v>
      </c>
    </row>
    <row r="102" customFormat="false" ht="12.75" hidden="false" customHeight="false" outlineLevel="0" collapsed="false">
      <c r="A102" s="15" t="s">
        <v>192</v>
      </c>
      <c r="B102" s="2" t="n">
        <v>25.2</v>
      </c>
      <c r="C102" s="1" t="n">
        <v>1013.3</v>
      </c>
      <c r="D102" s="2" t="n">
        <v>1.53</v>
      </c>
      <c r="E102" s="1" t="n">
        <v>25.57</v>
      </c>
      <c r="F102" s="1" t="n">
        <v>49.75</v>
      </c>
      <c r="G102" s="1" t="n">
        <v>73.78</v>
      </c>
      <c r="H102" s="1" t="n">
        <v>97.68</v>
      </c>
      <c r="I102" s="1" t="n">
        <v>121.74</v>
      </c>
      <c r="J102" s="3" t="n">
        <f aca="false">INDEX(LINEST($D$1:$I$1,$D102:$I102,,TRUE()),1)</f>
        <v>0.415967424294322</v>
      </c>
      <c r="K102" s="4" t="n">
        <f aca="false">INDEX(LINEST($D$1:$I$1,$D102:$I102,,TRUE()),2)</f>
        <v>0.000324028931078883</v>
      </c>
      <c r="L102" s="4" t="n">
        <f aca="false">INDEX(LINEST($D$1:$I$1,$D102:$I102,,TRUE()),3)</f>
        <v>0.999997572787101</v>
      </c>
      <c r="M102" s="13" t="s">
        <v>44</v>
      </c>
      <c r="O102" s="13" t="s">
        <v>162</v>
      </c>
    </row>
    <row r="103" customFormat="false" ht="12.75" hidden="false" customHeight="false" outlineLevel="0" collapsed="false">
      <c r="A103" s="15" t="s">
        <v>193</v>
      </c>
      <c r="B103" s="2" t="n">
        <v>25.2</v>
      </c>
      <c r="C103" s="1" t="n">
        <v>1013.3</v>
      </c>
      <c r="D103" s="2" t="n">
        <v>1.09</v>
      </c>
      <c r="E103" s="1" t="n">
        <v>24.8</v>
      </c>
      <c r="F103" s="1" t="n">
        <v>48.65</v>
      </c>
      <c r="G103" s="1" t="n">
        <v>72.36</v>
      </c>
      <c r="H103" s="1" t="n">
        <v>96.09</v>
      </c>
      <c r="I103" s="1" t="n">
        <v>119.82</v>
      </c>
      <c r="J103" s="3" t="n">
        <f aca="false">INDEX(LINEST($D$1:$I$1,$D103:$I103,,TRUE()),1)</f>
        <v>0.421062509550962</v>
      </c>
      <c r="K103" s="4" t="n">
        <f aca="false">INDEX(LINEST($D$1:$I$1,$D103:$I103,,TRUE()),2)</f>
        <v>0.000163149043640909</v>
      </c>
      <c r="L103" s="4" t="n">
        <f aca="false">INDEX(LINEST($D$1:$I$1,$D103:$I103,,TRUE()),3)</f>
        <v>0.999999399468703</v>
      </c>
      <c r="N103" s="13" t="s">
        <v>183</v>
      </c>
      <c r="O103" s="13" t="s">
        <v>194</v>
      </c>
    </row>
    <row r="104" customFormat="false" ht="12.75" hidden="false" customHeight="false" outlineLevel="0" collapsed="false">
      <c r="A104" s="15" t="s">
        <v>195</v>
      </c>
      <c r="B104" s="2" t="n">
        <v>25.2</v>
      </c>
      <c r="C104" s="1" t="n">
        <v>1013.3</v>
      </c>
      <c r="D104" s="2" t="n">
        <v>0.86</v>
      </c>
      <c r="E104" s="1" t="n">
        <v>24.27</v>
      </c>
      <c r="F104" s="1" t="n">
        <v>47.82</v>
      </c>
      <c r="G104" s="1" t="n">
        <v>71.23</v>
      </c>
      <c r="H104" s="1" t="n">
        <v>94.77</v>
      </c>
      <c r="I104" s="1" t="n">
        <v>118.17</v>
      </c>
      <c r="J104" s="3" t="n">
        <f aca="false">INDEX(LINEST($D$1:$I$1,$D104:$I104,,TRUE()),1)</f>
        <v>0.426070356411956</v>
      </c>
      <c r="K104" s="4" t="n">
        <f aca="false">INDEX(LINEST($D$1:$I$1,$D104:$I104,,TRUE()),2)</f>
        <v>0.000178246022476517</v>
      </c>
      <c r="L104" s="4" t="n">
        <f aca="false">INDEX(LINEST($D$1:$I$1,$D104:$I104,,TRUE()),3)</f>
        <v>0.999999299937615</v>
      </c>
      <c r="M104" s="13" t="s">
        <v>44</v>
      </c>
      <c r="O104" s="13" t="s">
        <v>169</v>
      </c>
    </row>
    <row r="105" customFormat="false" ht="12.75" hidden="false" customHeight="false" outlineLevel="0" collapsed="false">
      <c r="A105" s="15" t="s">
        <v>196</v>
      </c>
      <c r="B105" s="2" t="n">
        <v>25.2</v>
      </c>
      <c r="C105" s="1" t="n">
        <v>1018.9</v>
      </c>
      <c r="D105" s="2" t="n">
        <v>0.4</v>
      </c>
      <c r="E105" s="1" t="n">
        <v>23.66</v>
      </c>
      <c r="F105" s="1" t="n">
        <v>47.15</v>
      </c>
      <c r="G105" s="1" t="n">
        <v>70.44</v>
      </c>
      <c r="H105" s="1" t="n">
        <v>93.86</v>
      </c>
      <c r="I105" s="1" t="n">
        <v>117.24</v>
      </c>
      <c r="J105" s="3" t="n">
        <f aca="false">INDEX(LINEST($D$1:$I$1,$D105:$I105,,TRUE()),1)</f>
        <v>0.427825312635604</v>
      </c>
      <c r="K105" s="4" t="n">
        <f aca="false">INDEX(LINEST($D$1:$I$1,$D105:$I105,,TRUE()),2)</f>
        <v>0.000225801683023253</v>
      </c>
      <c r="L105" s="4" t="n">
        <f aca="false">INDEX(LINEST($D$1:$I$1,$D105:$I105,,TRUE()),3)</f>
        <v>0.999998885754461</v>
      </c>
    </row>
    <row r="106" customFormat="false" ht="12.75" hidden="false" customHeight="false" outlineLevel="0" collapsed="false">
      <c r="A106" s="15" t="s">
        <v>197</v>
      </c>
      <c r="B106" s="2" t="n">
        <v>25.2</v>
      </c>
      <c r="C106" s="1" t="n">
        <v>1018.9</v>
      </c>
      <c r="D106" s="2" t="n">
        <v>0.37</v>
      </c>
      <c r="E106" s="1" t="n">
        <v>23.98</v>
      </c>
      <c r="F106" s="1" t="n">
        <v>47.68</v>
      </c>
      <c r="G106" s="1" t="n">
        <v>71.15</v>
      </c>
      <c r="H106" s="1" t="n">
        <v>94.7</v>
      </c>
      <c r="I106" s="1" t="n">
        <v>118.3</v>
      </c>
      <c r="J106" s="3" t="n">
        <f aca="false">INDEX(LINEST($D$1:$I$1,$D106:$I106,,TRUE()),1)</f>
        <v>0.4240978458466</v>
      </c>
      <c r="K106" s="4" t="n">
        <f aca="false">INDEX(LINEST($D$1:$I$1,$D106:$I106,,TRUE()),2)</f>
        <v>0.000260885559872549</v>
      </c>
      <c r="L106" s="4" t="n">
        <f aca="false">INDEX(LINEST($D$1:$I$1,$D106:$I106,,TRUE()),3)</f>
        <v>0.999998486343662</v>
      </c>
      <c r="O106" s="13" t="s">
        <v>159</v>
      </c>
    </row>
    <row r="107" customFormat="false" ht="12.75" hidden="false" customHeight="false" outlineLevel="0" collapsed="false">
      <c r="A107" s="15" t="s">
        <v>198</v>
      </c>
      <c r="B107" s="2" t="n">
        <v>25.2</v>
      </c>
      <c r="C107" s="1" t="n">
        <v>1018.9</v>
      </c>
      <c r="D107" s="2" t="n">
        <v>0.35</v>
      </c>
      <c r="E107" s="1" t="n">
        <v>24.1</v>
      </c>
      <c r="F107" s="1" t="n">
        <v>47.78</v>
      </c>
      <c r="G107" s="1" t="n">
        <v>71.31</v>
      </c>
      <c r="H107" s="1" t="n">
        <v>94.86</v>
      </c>
      <c r="I107" s="1" t="n">
        <v>118.49</v>
      </c>
      <c r="J107" s="3" t="n">
        <f aca="false">INDEX(LINEST($D$1:$I$1,$D107:$I107,,TRUE()),1)</f>
        <v>0.423466267244977</v>
      </c>
      <c r="K107" s="4" t="n">
        <f aca="false">INDEX(LINEST($D$1:$I$1,$D107:$I107,,TRUE()),2)</f>
        <v>0.000338671223898679</v>
      </c>
      <c r="L107" s="4" t="n">
        <f aca="false">INDEX(LINEST($D$1:$I$1,$D107:$I107,,TRUE()),3)</f>
        <v>0.999997441544702</v>
      </c>
      <c r="O107" s="13" t="s">
        <v>199</v>
      </c>
    </row>
    <row r="108" customFormat="false" ht="12.75" hidden="false" customHeight="false" outlineLevel="0" collapsed="false">
      <c r="A108" s="15" t="s">
        <v>200</v>
      </c>
      <c r="B108" s="2" t="n">
        <v>25.2</v>
      </c>
      <c r="C108" s="1" t="n">
        <v>1018.9</v>
      </c>
      <c r="D108" s="2" t="n">
        <v>0.37</v>
      </c>
      <c r="E108" s="1" t="n">
        <v>23.98</v>
      </c>
      <c r="F108" s="1" t="n">
        <v>47.87</v>
      </c>
      <c r="G108" s="1" t="n">
        <v>71.46</v>
      </c>
      <c r="H108" s="1" t="n">
        <v>95.39</v>
      </c>
      <c r="I108" s="1" t="n">
        <v>118.94</v>
      </c>
      <c r="J108" s="3" t="n">
        <f aca="false">INDEX(LINEST($D$1:$I$1,$D108:$I108,,TRUE()),1)</f>
        <v>0.421345002617832</v>
      </c>
      <c r="K108" s="4" t="n">
        <f aca="false">INDEX(LINEST($D$1:$I$1,$D108:$I108,,TRUE()),2)</f>
        <v>0.000413243599489799</v>
      </c>
      <c r="L108" s="4" t="n">
        <f aca="false">INDEX(LINEST($D$1:$I$1,$D108:$I108,,TRUE()),3)</f>
        <v>0.99999615235587</v>
      </c>
    </row>
    <row r="109" customFormat="false" ht="12.75" hidden="false" customHeight="false" outlineLevel="0" collapsed="false">
      <c r="A109" s="15" t="s">
        <v>201</v>
      </c>
      <c r="B109" s="2" t="n">
        <v>25.2</v>
      </c>
      <c r="C109" s="1" t="n">
        <v>1018.9</v>
      </c>
      <c r="D109" s="2" t="n">
        <v>0.08</v>
      </c>
      <c r="E109" s="1" t="n">
        <v>24.27</v>
      </c>
      <c r="F109" s="1" t="n">
        <v>48.58</v>
      </c>
      <c r="G109" s="1" t="n">
        <v>72.67</v>
      </c>
      <c r="H109" s="1" t="n">
        <v>96.92</v>
      </c>
      <c r="I109" s="1" t="n">
        <v>121.26</v>
      </c>
      <c r="J109" s="3" t="n">
        <f aca="false">INDEX(LINEST($D$1:$I$1,$D109:$I109,,TRUE()),1)</f>
        <v>0.412764387969434</v>
      </c>
      <c r="K109" s="4" t="n">
        <f aca="false">INDEX(LINEST($D$1:$I$1,$D109:$I109,,TRUE()),2)</f>
        <v>0.000262186884073408</v>
      </c>
      <c r="L109" s="4" t="n">
        <f aca="false">INDEX(LINEST($D$1:$I$1,$D109:$I109,,TRUE()),3)</f>
        <v>0.999998386099435</v>
      </c>
      <c r="O109" s="13" t="s">
        <v>202</v>
      </c>
    </row>
    <row r="110" customFormat="false" ht="12.75" hidden="false" customHeight="false" outlineLevel="0" collapsed="false">
      <c r="A110" s="15" t="s">
        <v>203</v>
      </c>
      <c r="B110" s="2" t="n">
        <v>25.2</v>
      </c>
      <c r="C110" s="1" t="n">
        <v>1018.9</v>
      </c>
      <c r="D110" s="2" t="n">
        <v>0.18</v>
      </c>
      <c r="E110" s="1" t="n">
        <v>23.94</v>
      </c>
      <c r="F110" s="1" t="n">
        <v>47.73</v>
      </c>
      <c r="G110" s="1" t="n">
        <v>71.29</v>
      </c>
      <c r="H110" s="1" t="n">
        <v>94.95</v>
      </c>
      <c r="I110" s="1" t="n">
        <v>118.68</v>
      </c>
      <c r="J110" s="3" t="n">
        <f aca="false">INDEX(LINEST($D$1:$I$1,$D110:$I110,,TRUE()),1)</f>
        <v>0.422148782568597</v>
      </c>
      <c r="K110" s="4" t="n">
        <f aca="false">INDEX(LINEST($D$1:$I$1,$D110:$I110,,TRUE()),2)</f>
        <v>0.000291134360690624</v>
      </c>
      <c r="L110" s="4" t="n">
        <f aca="false">INDEX(LINEST($D$1:$I$1,$D110:$I110,,TRUE()),3)</f>
        <v>0.999998097542281</v>
      </c>
      <c r="Q110" s="13" t="s">
        <v>204</v>
      </c>
    </row>
    <row r="111" customFormat="false" ht="12.75" hidden="false" customHeight="false" outlineLevel="0" collapsed="false">
      <c r="A111" s="15" t="s">
        <v>205</v>
      </c>
      <c r="B111" s="2" t="n">
        <v>25.2</v>
      </c>
      <c r="C111" s="1" t="n">
        <v>1018.9</v>
      </c>
      <c r="D111" s="2" t="n">
        <v>0.13</v>
      </c>
      <c r="E111" s="1" t="n">
        <v>23.68</v>
      </c>
      <c r="F111" s="1" t="n">
        <v>47.1</v>
      </c>
      <c r="G111" s="1" t="n">
        <v>70.47</v>
      </c>
      <c r="H111" s="1" t="n">
        <v>93.88</v>
      </c>
      <c r="I111" s="1" t="n">
        <v>117.32</v>
      </c>
      <c r="J111" s="3" t="n">
        <f aca="false">INDEX(LINEST($D$1:$I$1,$D111:$I111,,TRUE()),1)</f>
        <v>0.42687043233574</v>
      </c>
      <c r="K111" s="4" t="n">
        <f aca="false">INDEX(LINEST($D$1:$I$1,$D111:$I111,,TRUE()),2)</f>
        <v>0.000226775645690562</v>
      </c>
      <c r="L111" s="4" t="n">
        <f aca="false">INDEX(LINEST($D$1:$I$1,$D111:$I111,,TRUE()),3)</f>
        <v>0.999998871087771</v>
      </c>
    </row>
    <row r="112" customFormat="false" ht="12.75" hidden="false" customHeight="false" outlineLevel="0" collapsed="false">
      <c r="A112" s="15" t="s">
        <v>206</v>
      </c>
      <c r="B112" s="2" t="n">
        <v>25.2</v>
      </c>
      <c r="C112" s="1" t="n">
        <v>1018.9</v>
      </c>
      <c r="D112" s="2" t="n">
        <v>0.03</v>
      </c>
      <c r="E112" s="1" t="n">
        <v>23.84</v>
      </c>
      <c r="F112" s="1" t="n">
        <v>47.75</v>
      </c>
      <c r="G112" s="1" t="n">
        <v>71.44</v>
      </c>
      <c r="H112" s="1" t="n">
        <v>95.18</v>
      </c>
      <c r="I112" s="1" t="n">
        <v>118.98</v>
      </c>
      <c r="J112" s="3" t="n">
        <f aca="false">INDEX(LINEST($D$1:$I$1,$D112:$I112,,TRUE()),1)</f>
        <v>0.420439977613168</v>
      </c>
      <c r="K112" s="4" t="n">
        <f aca="false">INDEX(LINEST($D$1:$I$1,$D112:$I112,,TRUE()),2)</f>
        <v>0.000260206631220874</v>
      </c>
      <c r="L112" s="4" t="n">
        <f aca="false">INDEX(LINEST($D$1:$I$1,$D112:$I112,,TRUE()),3)</f>
        <v>0.999998467896737</v>
      </c>
      <c r="Q112" s="13" t="s">
        <v>207</v>
      </c>
    </row>
    <row r="113" customFormat="false" ht="12.75" hidden="false" customHeight="false" outlineLevel="0" collapsed="false">
      <c r="A113" s="15" t="s">
        <v>208</v>
      </c>
      <c r="B113" s="2" t="n">
        <v>25.2</v>
      </c>
      <c r="C113" s="1" t="n">
        <v>1018.9</v>
      </c>
      <c r="D113" s="2" t="n">
        <v>0.25</v>
      </c>
      <c r="E113" s="1" t="n">
        <v>24.42</v>
      </c>
      <c r="F113" s="1" t="n">
        <v>48.66</v>
      </c>
      <c r="G113" s="1" t="n">
        <v>72.73</v>
      </c>
      <c r="H113" s="1" t="n">
        <v>96.81</v>
      </c>
      <c r="I113" s="1" t="n">
        <v>121.35</v>
      </c>
      <c r="J113" s="3" t="n">
        <f aca="false">INDEX(LINEST($D$1:$I$1,$D113:$I113,,TRUE()),1)</f>
        <v>0.413347241512892</v>
      </c>
      <c r="K113" s="4" t="n">
        <f aca="false">INDEX(LINEST($D$1:$I$1,$D113:$I113,,TRUE()),2)</f>
        <v>0.000536298532163503</v>
      </c>
      <c r="L113" s="4" t="n">
        <f aca="false">INDEX(LINEST($D$1:$I$1,$D113:$I113,,TRUE()),3)</f>
        <v>0.99999326651036</v>
      </c>
      <c r="P113" s="15" t="s">
        <v>18</v>
      </c>
      <c r="Q113" s="15"/>
      <c r="R113" s="15"/>
      <c r="S113" s="15"/>
    </row>
    <row r="114" customFormat="false" ht="12.75" hidden="false" customHeight="false" outlineLevel="0" collapsed="false">
      <c r="A114" s="15" t="s">
        <v>209</v>
      </c>
      <c r="B114" s="2" t="n">
        <v>25.2</v>
      </c>
      <c r="C114" s="1" t="n">
        <v>1018.9</v>
      </c>
      <c r="D114" s="2" t="n">
        <v>0.25</v>
      </c>
      <c r="E114" s="1" t="n">
        <v>23.98</v>
      </c>
      <c r="F114" s="1" t="n">
        <v>47.67</v>
      </c>
      <c r="G114" s="1" t="n">
        <v>71.21</v>
      </c>
      <c r="H114" s="1" t="n">
        <v>94.79</v>
      </c>
      <c r="I114" s="1" t="n">
        <v>118.43</v>
      </c>
      <c r="J114" s="3" t="n">
        <f aca="false">INDEX(LINEST($D$1:$I$1,$D114:$I114,,TRUE()),1)</f>
        <v>0.423282234373104</v>
      </c>
      <c r="K114" s="4" t="n">
        <f aca="false">INDEX(LINEST($D$1:$I$1,$D114:$I114,,TRUE()),2)</f>
        <v>0.000281425849777593</v>
      </c>
      <c r="L114" s="4" t="n">
        <f aca="false">INDEX(LINEST($D$1:$I$1,$D114:$I114,,TRUE()),3)</f>
        <v>0.999998231817396</v>
      </c>
      <c r="P114" s="13" t="s">
        <v>210</v>
      </c>
    </row>
    <row r="115" customFormat="false" ht="12.75" hidden="false" customHeight="false" outlineLevel="0" collapsed="false">
      <c r="A115" s="15" t="s">
        <v>211</v>
      </c>
      <c r="B115" s="2" t="n">
        <v>22.1</v>
      </c>
      <c r="C115" s="1" t="n">
        <v>1009.5</v>
      </c>
      <c r="D115" s="2" t="n">
        <v>0.08</v>
      </c>
      <c r="E115" s="1" t="n">
        <v>24.69</v>
      </c>
      <c r="F115" s="1" t="n">
        <v>49.3</v>
      </c>
      <c r="G115" s="1" t="n">
        <v>73.98</v>
      </c>
      <c r="H115" s="1" t="n">
        <v>98.55</v>
      </c>
      <c r="I115" s="1" t="n">
        <v>123.06</v>
      </c>
      <c r="J115" s="3" t="n">
        <f aca="false">INDEX(LINEST($D$1:$I$1,$D115:$I115,,TRUE()),1)</f>
        <v>0.406428153304042</v>
      </c>
      <c r="K115" s="4" t="n">
        <f aca="false">INDEX(LINEST($D$1:$I$1,$D115:$I115,,TRUE()),2)</f>
        <v>0.000197770809255084</v>
      </c>
      <c r="L115" s="4" t="n">
        <f aca="false">INDEX(LINEST($D$1:$I$1,$D115:$I115,,TRUE()),3)</f>
        <v>0.999999052855169</v>
      </c>
    </row>
    <row r="116" customFormat="false" ht="12.75" hidden="false" customHeight="false" outlineLevel="0" collapsed="false">
      <c r="A116" s="15" t="s">
        <v>212</v>
      </c>
      <c r="B116" s="2" t="n">
        <v>22.1</v>
      </c>
      <c r="C116" s="1" t="n">
        <v>1009.5</v>
      </c>
      <c r="D116" s="2" t="n">
        <v>0.01</v>
      </c>
      <c r="E116" s="1" t="n">
        <v>24.32</v>
      </c>
      <c r="F116" s="1" t="n">
        <v>48.59</v>
      </c>
      <c r="G116" s="1" t="n">
        <v>72.92</v>
      </c>
      <c r="H116" s="1" t="n">
        <v>97.2</v>
      </c>
      <c r="I116" s="1" t="n">
        <v>121.4</v>
      </c>
      <c r="J116" s="3" t="n">
        <f aca="false">INDEX(LINEST($D$1:$I$1,$D116:$I116,,TRUE()),1)</f>
        <v>0.411803240613195</v>
      </c>
      <c r="K116" s="4" t="n">
        <f aca="false">INDEX(LINEST($D$1:$I$1,$D116:$I116,,TRUE()),2)</f>
        <v>0.000151601345848899</v>
      </c>
      <c r="L116" s="4" t="n">
        <f aca="false">INDEX(LINEST($D$1:$I$1,$D116:$I116,,TRUE()),3)</f>
        <v>0.999999457891334</v>
      </c>
    </row>
    <row r="117" customFormat="false" ht="12.75" hidden="false" customHeight="false" outlineLevel="0" collapsed="false">
      <c r="A117" s="15" t="s">
        <v>213</v>
      </c>
      <c r="B117" s="2" t="n">
        <v>22.1</v>
      </c>
      <c r="C117" s="1" t="n">
        <v>1009.5</v>
      </c>
      <c r="D117" s="2" t="n">
        <v>0.3</v>
      </c>
      <c r="E117" s="1" t="n">
        <v>24.78</v>
      </c>
      <c r="F117" s="1" t="n">
        <v>49.2</v>
      </c>
      <c r="G117" s="1" t="n">
        <v>73.64</v>
      </c>
      <c r="H117" s="1" t="n">
        <v>98.02</v>
      </c>
      <c r="I117" s="1" t="n">
        <v>122.31</v>
      </c>
      <c r="J117" s="3" t="n">
        <f aca="false">INDEX(LINEST($D$1:$I$1,$D117:$I117,,TRUE()),1)</f>
        <v>0.409734677357985</v>
      </c>
      <c r="K117" s="4" t="n">
        <f aca="false">INDEX(LINEST($D$1:$I$1,$D117:$I117,,TRUE()),2)</f>
        <v>0.000254764911722842</v>
      </c>
      <c r="L117" s="4" t="n">
        <f aca="false">INDEX(LINEST($D$1:$I$1,$D117:$I117,,TRUE()),3)</f>
        <v>0.999998453559898</v>
      </c>
    </row>
    <row r="118" customFormat="false" ht="12.75" hidden="false" customHeight="false" outlineLevel="0" collapsed="false">
      <c r="A118" s="15" t="s">
        <v>214</v>
      </c>
      <c r="B118" s="2" t="n">
        <v>22.1</v>
      </c>
      <c r="C118" s="1" t="n">
        <v>1009.5</v>
      </c>
      <c r="D118" s="2" t="n">
        <v>0.05</v>
      </c>
      <c r="E118" s="1" t="n">
        <v>24.56</v>
      </c>
      <c r="F118" s="1" t="n">
        <v>49.01</v>
      </c>
      <c r="G118" s="1" t="n">
        <v>73.49</v>
      </c>
      <c r="H118" s="1" t="n">
        <v>97.89</v>
      </c>
      <c r="I118" s="1" t="n">
        <v>122.17</v>
      </c>
      <c r="J118" s="3" t="n">
        <f aca="false">INDEX(LINEST($D$1:$I$1,$D118:$I118,,TRUE()),1)</f>
        <v>0.409322241650166</v>
      </c>
      <c r="K118" s="4" t="n">
        <f aca="false">INDEX(LINEST($D$1:$I$1,$D118:$I118,,TRUE()),2)</f>
        <v>0.00031532506896645</v>
      </c>
      <c r="L118" s="4" t="n">
        <f aca="false">INDEX(LINEST($D$1:$I$1,$D118:$I118,,TRUE()),3)</f>
        <v>0.999997626193736</v>
      </c>
    </row>
    <row r="119" customFormat="false" ht="12.75" hidden="false" customHeight="false" outlineLevel="0" collapsed="false">
      <c r="A119" s="15" t="s">
        <v>215</v>
      </c>
      <c r="B119" s="2" t="n">
        <v>22.1</v>
      </c>
      <c r="C119" s="1" t="n">
        <v>1009.5</v>
      </c>
      <c r="D119" s="2" t="n">
        <v>0.31</v>
      </c>
      <c r="E119" s="1" t="n">
        <v>23.16</v>
      </c>
      <c r="F119" s="1" t="n">
        <v>45.98</v>
      </c>
      <c r="G119" s="1" t="n">
        <v>68.82</v>
      </c>
      <c r="H119" s="1" t="n">
        <v>91.62</v>
      </c>
      <c r="I119" s="1" t="n">
        <v>114.3</v>
      </c>
      <c r="J119" s="3" t="n">
        <f aca="false">INDEX(LINEST($D$1:$I$1,$D119:$I119,,TRUE()),1)</f>
        <v>0.438502442820157</v>
      </c>
      <c r="K119" s="4" t="n">
        <f aca="false">INDEX(LINEST($D$1:$I$1,$D119:$I119,,TRUE()),2)</f>
        <v>0.000263418396860775</v>
      </c>
      <c r="L119" s="4" t="n">
        <f aca="false">INDEX(LINEST($D$1:$I$1,$D119:$I119,,TRUE()),3)</f>
        <v>0.999998556530755</v>
      </c>
    </row>
    <row r="120" customFormat="false" ht="12.75" hidden="false" customHeight="false" outlineLevel="0" collapsed="false">
      <c r="A120" s="15" t="s">
        <v>216</v>
      </c>
      <c r="B120" s="2" t="n">
        <v>22.1</v>
      </c>
      <c r="C120" s="1" t="n">
        <v>1009.5</v>
      </c>
      <c r="D120" s="2" t="n">
        <v>0.04</v>
      </c>
      <c r="E120" s="1" t="n">
        <v>24.53</v>
      </c>
      <c r="F120" s="1" t="n">
        <v>48.98</v>
      </c>
      <c r="G120" s="1" t="n">
        <v>73.46</v>
      </c>
      <c r="H120" s="1" t="n">
        <v>97.88</v>
      </c>
      <c r="I120" s="1" t="n">
        <v>122.14</v>
      </c>
      <c r="J120" s="3" t="n">
        <f aca="false">INDEX(LINEST($D$1:$I$1,$D120:$I120,,TRUE()),1)</f>
        <v>0.409341400917656</v>
      </c>
      <c r="K120" s="4" t="n">
        <f aca="false">INDEX(LINEST($D$1:$I$1,$D120:$I120,,TRUE()),2)</f>
        <v>0.000313654150758837</v>
      </c>
      <c r="L120" s="4" t="n">
        <f aca="false">INDEX(LINEST($D$1:$I$1,$D120:$I120,,TRUE()),3)</f>
        <v>0.999997651504639</v>
      </c>
    </row>
    <row r="121" customFormat="false" ht="12.75" hidden="false" customHeight="false" outlineLevel="0" collapsed="false">
      <c r="A121" s="15" t="s">
        <v>217</v>
      </c>
      <c r="B121" s="2" t="n">
        <v>22.1</v>
      </c>
      <c r="C121" s="1" t="n">
        <v>1009.5</v>
      </c>
      <c r="D121" s="2" t="n">
        <v>0.08</v>
      </c>
      <c r="E121" s="1" t="n">
        <v>23.51</v>
      </c>
      <c r="F121" s="1" t="n">
        <v>46.87</v>
      </c>
      <c r="G121" s="1" t="n">
        <v>70.25</v>
      </c>
      <c r="H121" s="1" t="n">
        <v>93.62</v>
      </c>
      <c r="I121" s="1" t="n">
        <v>116.85</v>
      </c>
      <c r="J121" s="3" t="n">
        <f aca="false">INDEX(LINEST($D$1:$I$1,$D121:$I121,,TRUE()),1)</f>
        <v>0.428102518478167</v>
      </c>
      <c r="K121" s="4" t="n">
        <f aca="false">INDEX(LINEST($D$1:$I$1,$D121:$I121,,TRUE()),2)</f>
        <v>0.000257114608655286</v>
      </c>
      <c r="L121" s="4" t="n">
        <f aca="false">INDEX(LINEST($D$1:$I$1,$D121:$I121,,TRUE()),3)</f>
        <v>0.999998557162886</v>
      </c>
      <c r="Q121" s="13" t="s">
        <v>218</v>
      </c>
    </row>
    <row r="122" customFormat="false" ht="12.75" hidden="false" customHeight="false" outlineLevel="0" collapsed="false">
      <c r="A122" s="15" t="s">
        <v>219</v>
      </c>
      <c r="B122" s="2" t="n">
        <v>22.1</v>
      </c>
      <c r="C122" s="1" t="n">
        <v>1009.5</v>
      </c>
      <c r="D122" s="2" t="n">
        <v>-0.38</v>
      </c>
      <c r="E122" s="1" t="n">
        <v>22.07</v>
      </c>
      <c r="F122" s="1" t="n">
        <v>44.5</v>
      </c>
      <c r="G122" s="1" t="n">
        <v>66.93</v>
      </c>
      <c r="H122" s="1" t="n">
        <v>89.33</v>
      </c>
      <c r="I122" s="1" t="n">
        <v>111.59</v>
      </c>
      <c r="J122" s="3" t="n">
        <f aca="false">INDEX(LINEST($D$1:$I$1,$D122:$I122,,TRUE()),1)</f>
        <v>0.446393550489403</v>
      </c>
      <c r="K122" s="4" t="n">
        <f aca="false">INDEX(LINEST($D$1:$I$1,$D122:$I122,,TRUE()),2)</f>
        <v>0.000309455610052514</v>
      </c>
      <c r="L122" s="4" t="n">
        <f aca="false">INDEX(LINEST($D$1:$I$1,$D122:$I122,,TRUE()),3)</f>
        <v>0.999998077704919</v>
      </c>
    </row>
    <row r="123" customFormat="false" ht="12.75" hidden="false" customHeight="false" outlineLevel="0" collapsed="false">
      <c r="A123" s="15" t="s">
        <v>220</v>
      </c>
      <c r="B123" s="2" t="n">
        <v>22.1</v>
      </c>
      <c r="C123" s="1" t="n">
        <v>1009.5</v>
      </c>
      <c r="D123" s="2" t="n">
        <v>0.2</v>
      </c>
      <c r="E123" s="1" t="n">
        <v>24.3</v>
      </c>
      <c r="F123" s="1" t="n">
        <v>48.31</v>
      </c>
      <c r="G123" s="1" t="n">
        <v>73.37</v>
      </c>
      <c r="H123" s="1" t="n">
        <v>96.41</v>
      </c>
      <c r="I123" s="1" t="n">
        <v>120.3</v>
      </c>
      <c r="J123" s="3" t="n">
        <f aca="false">INDEX(LINEST($D$1:$I$1,$D123:$I123,,TRUE()),1)</f>
        <v>0.415693581095268</v>
      </c>
      <c r="K123" s="4" t="n">
        <f aca="false">INDEX(LINEST($D$1:$I$1,$D123:$I123,,TRUE()),2)</f>
        <v>0.00197911462312605</v>
      </c>
      <c r="L123" s="4" t="n">
        <f aca="false">INDEX(LINEST($D$1:$I$1,$D123:$I123,,TRUE()),3)</f>
        <v>0.999909339966559</v>
      </c>
    </row>
    <row r="124" customFormat="false" ht="12.75" hidden="false" customHeight="false" outlineLevel="0" collapsed="false">
      <c r="A124" s="15" t="s">
        <v>221</v>
      </c>
      <c r="B124" s="2" t="n">
        <v>22.1</v>
      </c>
      <c r="C124" s="1" t="n">
        <v>1009.5</v>
      </c>
      <c r="D124" s="2" t="n">
        <v>0.27</v>
      </c>
      <c r="E124" s="1" t="n">
        <v>25.07</v>
      </c>
      <c r="F124" s="1" t="n">
        <v>49.79</v>
      </c>
      <c r="G124" s="1" t="n">
        <v>74.52</v>
      </c>
      <c r="H124" s="1" t="n">
        <v>99.17</v>
      </c>
      <c r="I124" s="1" t="n">
        <v>123.73</v>
      </c>
      <c r="J124" s="3" t="n">
        <f aca="false">INDEX(LINEST($D$1:$I$1,$D124:$I124,,TRUE()),1)</f>
        <v>0.404936894089656</v>
      </c>
      <c r="K124" s="4" t="n">
        <f aca="false">INDEX(LINEST($D$1:$I$1,$D124:$I124,,TRUE()),2)</f>
        <v>0.000323648162296422</v>
      </c>
      <c r="L124" s="4" t="n">
        <f aca="false">INDEX(LINEST($D$1:$I$1,$D124:$I124,,TRUE()),3)</f>
        <v>0.999997444767177</v>
      </c>
      <c r="Q124" s="13" t="s">
        <v>222</v>
      </c>
    </row>
    <row r="125" customFormat="false" ht="12.75" hidden="false" customHeight="false" outlineLevel="0" collapsed="false">
      <c r="A125" s="15" t="s">
        <v>223</v>
      </c>
      <c r="B125" s="2" t="n">
        <v>22.1</v>
      </c>
      <c r="C125" s="1" t="n">
        <v>1009.5</v>
      </c>
      <c r="D125" s="2" t="n">
        <v>0.34</v>
      </c>
      <c r="E125" s="1" t="n">
        <v>25.06</v>
      </c>
      <c r="F125" s="1" t="n">
        <v>49.74</v>
      </c>
      <c r="G125" s="1" t="n">
        <v>74.46</v>
      </c>
      <c r="H125" s="1" t="n">
        <v>99.07</v>
      </c>
      <c r="I125" s="1" t="n">
        <v>123.56</v>
      </c>
      <c r="J125" s="3" t="n">
        <f aca="false">INDEX(LINEST($D$1:$I$1,$D125:$I125,,TRUE()),1)</f>
        <v>0.405631383688638</v>
      </c>
      <c r="K125" s="4" t="n">
        <f aca="false">INDEX(LINEST($D$1:$I$1,$D125:$I125,,TRUE()),2)</f>
        <v>0.000335997355907846</v>
      </c>
      <c r="L125" s="4" t="n">
        <f aca="false">INDEX(LINEST($D$1:$I$1,$D125:$I125,,TRUE()),3)</f>
        <v>0.999997255473548</v>
      </c>
    </row>
    <row r="126" customFormat="false" ht="12.75" hidden="false" customHeight="false" outlineLevel="0" collapsed="false">
      <c r="A126" s="15" t="s">
        <v>224</v>
      </c>
      <c r="B126" s="2" t="n">
        <v>22.1</v>
      </c>
      <c r="C126" s="1" t="n">
        <v>1009.5</v>
      </c>
      <c r="D126" s="2" t="n">
        <v>-0.6</v>
      </c>
      <c r="E126" s="1" t="n">
        <v>24.06</v>
      </c>
      <c r="F126" s="1" t="n">
        <v>48.65</v>
      </c>
      <c r="G126" s="1" t="n">
        <v>73.29</v>
      </c>
      <c r="H126" s="1" t="n">
        <v>97.86</v>
      </c>
      <c r="I126" s="1" t="n">
        <v>122.28</v>
      </c>
      <c r="J126" s="3" t="n">
        <f aca="false">INDEX(LINEST($D$1:$I$1,$D126:$I126,,TRUE()),1)</f>
        <v>0.406767689540992</v>
      </c>
      <c r="K126" s="4" t="n">
        <f aca="false">INDEX(LINEST($D$1:$I$1,$D126:$I126,,TRUE()),2)</f>
        <v>0.000309252995755927</v>
      </c>
      <c r="L126" s="4" t="n">
        <f aca="false">INDEX(LINEST($D$1:$I$1,$D126:$I126,,TRUE()),3)</f>
        <v>0.999997687967574</v>
      </c>
      <c r="Q126" s="13" t="s">
        <v>225</v>
      </c>
    </row>
    <row r="127" customFormat="false" ht="12.75" hidden="false" customHeight="false" outlineLevel="0" collapsed="false">
      <c r="A127" s="15" t="s">
        <v>226</v>
      </c>
      <c r="B127" s="2" t="n">
        <v>22.4</v>
      </c>
      <c r="C127" s="1" t="n">
        <v>1021.5</v>
      </c>
      <c r="D127" s="2" t="n">
        <v>0.73</v>
      </c>
      <c r="E127" s="1" t="n">
        <v>25.31</v>
      </c>
      <c r="F127" s="1" t="n">
        <v>49.84</v>
      </c>
      <c r="G127" s="1" t="n">
        <v>74.37</v>
      </c>
      <c r="H127" s="1" t="n">
        <v>99.87</v>
      </c>
      <c r="I127" s="1" t="n">
        <v>123.2</v>
      </c>
      <c r="J127" s="3" t="n">
        <f aca="false">INDEX(LINEST($D$1:$I$1,$D127:$I127,,TRUE()),1)</f>
        <v>0.406678879256976</v>
      </c>
      <c r="K127" s="4" t="n">
        <f aca="false">INDEX(LINEST($D$1:$I$1,$D127:$I127,,TRUE()),2)</f>
        <v>0.00183250549610353</v>
      </c>
      <c r="L127" s="4" t="n">
        <f aca="false">INDEX(LINEST($D$1:$I$1,$D127:$I127,,TRUE()),3)</f>
        <v>0.999918789523953</v>
      </c>
    </row>
    <row r="128" customFormat="false" ht="12.75" hidden="false" customHeight="false" outlineLevel="0" collapsed="false">
      <c r="A128" s="15" t="s">
        <v>227</v>
      </c>
      <c r="B128" s="2" t="n">
        <v>22.4</v>
      </c>
      <c r="C128" s="1" t="n">
        <v>1021.5</v>
      </c>
      <c r="D128" s="2" t="n">
        <v>0.54</v>
      </c>
      <c r="E128" s="1" t="n">
        <v>23.5</v>
      </c>
      <c r="F128" s="1" t="n">
        <v>46.42</v>
      </c>
      <c r="G128" s="1" t="n">
        <v>69.36</v>
      </c>
      <c r="H128" s="1" t="n">
        <v>92.25</v>
      </c>
      <c r="I128" s="1" t="n">
        <v>115.03</v>
      </c>
      <c r="J128" s="3" t="n">
        <f aca="false">INDEX(LINEST($D$1:$I$1,$D128:$I128,,TRUE()),1)</f>
        <v>0.436604259772672</v>
      </c>
      <c r="K128" s="4" t="n">
        <f aca="false">INDEX(LINEST($D$1:$I$1,$D128:$I128,,TRUE()),2)</f>
        <v>0.000276427673500126</v>
      </c>
      <c r="L128" s="4" t="n">
        <f aca="false">INDEX(LINEST($D$1:$I$1,$D128:$I128,,TRUE()),3)</f>
        <v>0.999998396583328</v>
      </c>
    </row>
    <row r="129" customFormat="false" ht="12.75" hidden="false" customHeight="false" outlineLevel="0" collapsed="false">
      <c r="A129" s="15" t="s">
        <v>228</v>
      </c>
      <c r="B129" s="2" t="n">
        <v>22.4</v>
      </c>
      <c r="C129" s="1" t="n">
        <v>1021.5</v>
      </c>
      <c r="D129" s="2" t="n">
        <v>0.61</v>
      </c>
      <c r="E129" s="1" t="n">
        <v>23.96</v>
      </c>
      <c r="F129" s="1" t="n">
        <v>47.28</v>
      </c>
      <c r="G129" s="1" t="n">
        <v>70.62</v>
      </c>
      <c r="H129" s="1" t="n">
        <v>93.93</v>
      </c>
      <c r="I129" s="1" t="n">
        <v>117.12</v>
      </c>
      <c r="J129" s="3" t="n">
        <f aca="false">INDEX(LINEST($D$1:$I$1,$D129:$I129,,TRUE()),1)</f>
        <v>0.429026220706865</v>
      </c>
      <c r="K129" s="4" t="n">
        <f aca="false">INDEX(LINEST($D$1:$I$1,$D129:$I129,,TRUE()),2)</f>
        <v>0.000231931607216797</v>
      </c>
      <c r="L129" s="4" t="n">
        <f aca="false">INDEX(LINEST($D$1:$I$1,$D129:$I129,,TRUE()),3)</f>
        <v>0.999998831007601</v>
      </c>
    </row>
    <row r="130" customFormat="false" ht="12.75" hidden="false" customHeight="false" outlineLevel="0" collapsed="false">
      <c r="A130" s="15" t="s">
        <v>229</v>
      </c>
      <c r="B130" s="2" t="n">
        <v>22.4</v>
      </c>
      <c r="C130" s="1" t="n">
        <v>1021.5</v>
      </c>
      <c r="D130" s="2" t="n">
        <v>0.6</v>
      </c>
      <c r="E130" s="1" t="n">
        <v>23.69</v>
      </c>
      <c r="F130" s="1" t="n">
        <v>46.74</v>
      </c>
      <c r="G130" s="1" t="n">
        <v>69.83</v>
      </c>
      <c r="H130" s="1" t="n">
        <v>92.84</v>
      </c>
      <c r="I130" s="1" t="n">
        <v>115.75</v>
      </c>
      <c r="J130" s="3" t="n">
        <f aca="false">INDEX(LINEST($D$1:$I$1,$D130:$I130,,TRUE()),1)</f>
        <v>0.434086219328399</v>
      </c>
      <c r="K130" s="4" t="n">
        <f aca="false">INDEX(LINEST($D$1:$I$1,$D130:$I130,,TRUE()),2)</f>
        <v>0.000289390019612599</v>
      </c>
      <c r="L130" s="4" t="n">
        <f aca="false">INDEX(LINEST($D$1:$I$1,$D130:$I130,,TRUE()),3)</f>
        <v>0.999998222235129</v>
      </c>
      <c r="R130" s="13" t="s">
        <v>202</v>
      </c>
    </row>
    <row r="131" customFormat="false" ht="12.75" hidden="false" customHeight="false" outlineLevel="0" collapsed="false">
      <c r="A131" s="15" t="s">
        <v>230</v>
      </c>
      <c r="B131" s="2" t="n">
        <v>22.5</v>
      </c>
      <c r="C131" s="1" t="n">
        <v>1013.7</v>
      </c>
      <c r="D131" s="2" t="n">
        <v>-0.01</v>
      </c>
      <c r="E131" s="1" t="n">
        <v>24.06</v>
      </c>
      <c r="F131" s="1" t="n">
        <v>48.04</v>
      </c>
      <c r="G131" s="1" t="n">
        <v>72.09</v>
      </c>
      <c r="H131" s="1" t="n">
        <v>95.95</v>
      </c>
      <c r="I131" s="1" t="n">
        <v>119.78</v>
      </c>
      <c r="J131" s="3" t="n">
        <f aca="false">INDEX(LINEST($D$1:$I$1,$D131:$I131,,TRUE()),1)</f>
        <v>0.417325870149966</v>
      </c>
      <c r="K131" s="4" t="n">
        <f aca="false">INDEX(LINEST($D$1:$I$1,$D131:$I131,,TRUE()),2)</f>
        <v>0.000404071919591106</v>
      </c>
      <c r="L131" s="4" t="n">
        <f aca="false">INDEX(LINEST($D$1:$I$1,$D131:$I131,,TRUE()),3)</f>
        <v>0.99999625005335</v>
      </c>
    </row>
    <row r="132" customFormat="false" ht="12.75" hidden="false" customHeight="false" outlineLevel="0" collapsed="false">
      <c r="A132" s="15" t="s">
        <v>231</v>
      </c>
      <c r="B132" s="2" t="n">
        <v>22.5</v>
      </c>
      <c r="C132" s="1" t="n">
        <v>1013.7</v>
      </c>
      <c r="D132" s="2" t="n">
        <v>0.27</v>
      </c>
      <c r="E132" s="1" t="n">
        <v>24.52</v>
      </c>
      <c r="F132" s="1" t="n">
        <v>48.68</v>
      </c>
      <c r="G132" s="1" t="n">
        <v>72.86</v>
      </c>
      <c r="H132" s="1" t="n">
        <v>96.98</v>
      </c>
      <c r="I132" s="1" t="n">
        <v>120.96</v>
      </c>
      <c r="J132" s="3" t="n">
        <f aca="false">INDEX(LINEST($D$1:$I$1,$D132:$I132,,TRUE()),1)</f>
        <v>0.41419506718662</v>
      </c>
      <c r="K132" s="4" t="n">
        <f aca="false">INDEX(LINEST($D$1:$I$1,$D132:$I132,,TRUE()),2)</f>
        <v>0.000354628603541123</v>
      </c>
      <c r="L132" s="4" t="n">
        <f aca="false">INDEX(LINEST($D$1:$I$1,$D132:$I132,,TRUE()),3)</f>
        <v>0.999997067781045</v>
      </c>
      <c r="S132" s="1" t="s">
        <v>194</v>
      </c>
    </row>
    <row r="133" customFormat="false" ht="12.75" hidden="false" customHeight="false" outlineLevel="0" collapsed="false">
      <c r="A133" s="15" t="s">
        <v>232</v>
      </c>
      <c r="B133" s="2" t="n">
        <v>22.5</v>
      </c>
      <c r="C133" s="1" t="n">
        <v>1013.7</v>
      </c>
      <c r="D133" s="2" t="n">
        <v>-0.05</v>
      </c>
      <c r="E133" s="1" t="n">
        <v>23.29</v>
      </c>
      <c r="F133" s="1" t="n">
        <v>46.56</v>
      </c>
      <c r="G133" s="1" t="n">
        <v>69.81</v>
      </c>
      <c r="H133" s="1" t="n">
        <v>93.03</v>
      </c>
      <c r="I133" s="1" t="n">
        <v>116.12</v>
      </c>
      <c r="J133" s="3" t="n">
        <f aca="false">INDEX(LINEST($D$1:$I$1,$D133:$I133,,TRUE()),1)</f>
        <v>0.430333719393688</v>
      </c>
      <c r="K133" s="4" t="n">
        <f aca="false">INDEX(LINEST($D$1:$I$1,$D133:$I133,,TRUE()),2)</f>
        <v>0.000359922766115385</v>
      </c>
      <c r="L133" s="4" t="n">
        <f aca="false">INDEX(LINEST($D$1:$I$1,$D133:$I133,,TRUE()),3)</f>
        <v>0.999997201877927</v>
      </c>
      <c r="S133" s="13" t="s">
        <v>164</v>
      </c>
    </row>
    <row r="134" customFormat="false" ht="12.75" hidden="false" customHeight="false" outlineLevel="0" collapsed="false">
      <c r="A134" s="15" t="s">
        <v>233</v>
      </c>
      <c r="B134" s="2" t="n">
        <v>22.5</v>
      </c>
      <c r="C134" s="1" t="n">
        <v>1013.7</v>
      </c>
      <c r="D134" s="2" t="n">
        <v>-0.3</v>
      </c>
      <c r="E134" s="1" t="n">
        <v>23.29</v>
      </c>
      <c r="F134" s="1" t="n">
        <v>46.41</v>
      </c>
      <c r="G134" s="1" t="n">
        <v>70.27</v>
      </c>
      <c r="H134" s="1" t="n">
        <v>93.68</v>
      </c>
      <c r="I134" s="1" t="n">
        <v>116.96</v>
      </c>
      <c r="J134" s="3" t="n">
        <f aca="false">INDEX(LINEST($D$1:$I$1,$D134:$I134,,TRUE()),1)</f>
        <v>0.426133220421407</v>
      </c>
      <c r="K134" s="4" t="n">
        <f aca="false">INDEX(LINEST($D$1:$I$1,$D134:$I134,,TRUE()),2)</f>
        <v>0.000720487196221428</v>
      </c>
      <c r="L134" s="4" t="n">
        <f aca="false">INDEX(LINEST($D$1:$I$1,$D134:$I134,,TRUE()),3)</f>
        <v>0.999988565510612</v>
      </c>
    </row>
    <row r="135" customFormat="false" ht="12.75" hidden="false" customHeight="false" outlineLevel="0" collapsed="false">
      <c r="A135" s="15" t="s">
        <v>234</v>
      </c>
      <c r="B135" s="2" t="n">
        <v>22.5</v>
      </c>
      <c r="C135" s="1" t="n">
        <v>1013.7</v>
      </c>
      <c r="D135" s="2" t="n">
        <v>0.04</v>
      </c>
      <c r="E135" s="1" t="n">
        <v>22.7</v>
      </c>
      <c r="F135" s="1" t="n">
        <v>44.24</v>
      </c>
      <c r="G135" s="1" t="n">
        <v>67.81</v>
      </c>
      <c r="H135" s="1" t="n">
        <v>90.35</v>
      </c>
      <c r="I135" s="1" t="n">
        <v>112.74</v>
      </c>
      <c r="J135" s="3" t="n">
        <f aca="false">INDEX(LINEST($D$1:$I$1,$D135:$I135,,TRUE()),1)</f>
        <v>0.442987975068745</v>
      </c>
      <c r="K135" s="4" t="n">
        <f aca="false">INDEX(LINEST($D$1:$I$1,$D135:$I135,,TRUE()),2)</f>
        <v>0.00207248243450062</v>
      </c>
      <c r="L135" s="4" t="n">
        <f aca="false">INDEX(LINEST($D$1:$I$1,$D135:$I135,,TRUE()),3)</f>
        <v>0.99991245732517</v>
      </c>
    </row>
    <row r="136" customFormat="false" ht="12.75" hidden="false" customHeight="false" outlineLevel="0" collapsed="false">
      <c r="A136" s="15" t="s">
        <v>235</v>
      </c>
      <c r="B136" s="2" t="n">
        <v>22.5</v>
      </c>
      <c r="C136" s="1" t="n">
        <v>1013.7</v>
      </c>
      <c r="D136" s="2" t="n">
        <v>0.03</v>
      </c>
      <c r="E136" s="1" t="n">
        <v>24.28</v>
      </c>
      <c r="F136" s="1" t="n">
        <v>48.38</v>
      </c>
      <c r="G136" s="1" t="n">
        <v>72.54</v>
      </c>
      <c r="H136" s="1" t="n">
        <v>96.61</v>
      </c>
      <c r="I136" s="1" t="n">
        <v>120.51</v>
      </c>
      <c r="J136" s="3" t="n">
        <f aca="false">INDEX(LINEST($D$1:$I$1,$D136:$I136,,TRUE()),1)</f>
        <v>0.414911244301303</v>
      </c>
      <c r="K136" s="4" t="n">
        <f aca="false">INDEX(LINEST($D$1:$I$1,$D136:$I136,,TRUE()),2)</f>
        <v>0.000446305484830749</v>
      </c>
      <c r="L136" s="4" t="n">
        <f aca="false">INDEX(LINEST($D$1:$I$1,$D136:$I136,,TRUE()),3)</f>
        <v>0.999995371801041</v>
      </c>
    </row>
    <row r="137" customFormat="false" ht="12.75" hidden="false" customHeight="false" outlineLevel="0" collapsed="false">
      <c r="A137" s="15" t="s">
        <v>236</v>
      </c>
      <c r="B137" s="2" t="n">
        <v>22.5</v>
      </c>
      <c r="C137" s="1" t="n">
        <v>1013.7</v>
      </c>
      <c r="D137" s="2" t="n">
        <v>0.18</v>
      </c>
      <c r="E137" s="1" t="n">
        <v>23.92</v>
      </c>
      <c r="F137" s="1" t="n">
        <v>47.56</v>
      </c>
      <c r="G137" s="1" t="n">
        <v>71.21</v>
      </c>
      <c r="H137" s="1" t="n">
        <v>94.77</v>
      </c>
      <c r="I137" s="1" t="n">
        <v>118.17</v>
      </c>
      <c r="J137" s="3" t="n">
        <f aca="false">INDEX(LINEST($D$1:$I$1,$D137:$I137,,TRUE()),1)</f>
        <v>0.423649621468136</v>
      </c>
      <c r="K137" s="4" t="n">
        <f aca="false">INDEX(LINEST($D$1:$I$1,$D137:$I137,,TRUE()),2)</f>
        <v>0.000489000689103924</v>
      </c>
      <c r="L137" s="4" t="n">
        <f aca="false">INDEX(LINEST($D$1:$I$1,$D137:$I137,,TRUE()),3)</f>
        <v>0.999994670788287</v>
      </c>
    </row>
    <row r="138" customFormat="false" ht="12.75" hidden="false" customHeight="false" outlineLevel="0" collapsed="false">
      <c r="A138" s="15" t="s">
        <v>237</v>
      </c>
      <c r="B138" s="2" t="n">
        <v>22.5</v>
      </c>
      <c r="C138" s="1" t="n">
        <v>1013.7</v>
      </c>
      <c r="D138" s="2" t="n">
        <v>-0.09</v>
      </c>
      <c r="E138" s="1" t="n">
        <v>24.94</v>
      </c>
      <c r="F138" s="1" t="n">
        <v>49.82</v>
      </c>
      <c r="G138" s="1" t="n">
        <v>74.71</v>
      </c>
      <c r="H138" s="1" t="n">
        <v>99.56</v>
      </c>
      <c r="I138" s="1" t="n">
        <v>124.21</v>
      </c>
      <c r="J138" s="3" t="n">
        <f aca="false">INDEX(LINEST($D$1:$I$1,$D138:$I138,,TRUE()),1)</f>
        <v>0.402181304459683</v>
      </c>
      <c r="K138" s="4" t="n">
        <f aca="false">INDEX(LINEST($D$1:$I$1,$D138:$I138,,TRUE()),2)</f>
        <v>0.000445755938122845</v>
      </c>
      <c r="L138" s="4" t="n">
        <f aca="false">INDEX(LINEST($D$1:$I$1,$D138:$I138,,TRUE()),3)</f>
        <v>0.999995086302969</v>
      </c>
    </row>
    <row r="139" customFormat="false" ht="12.75" hidden="false" customHeight="false" outlineLevel="0" collapsed="false">
      <c r="A139" s="15" t="s">
        <v>238</v>
      </c>
      <c r="B139" s="2" t="n">
        <v>22.5</v>
      </c>
      <c r="C139" s="1" t="n">
        <v>1013.7</v>
      </c>
      <c r="D139" s="2" t="n">
        <v>-0.32</v>
      </c>
      <c r="E139" s="1" t="n">
        <v>22.03</v>
      </c>
      <c r="F139" s="1" t="n">
        <v>44.27</v>
      </c>
      <c r="G139" s="1" t="n">
        <v>66.56</v>
      </c>
      <c r="H139" s="1" t="n">
        <v>88.82</v>
      </c>
      <c r="I139" s="1" t="n">
        <v>110.8</v>
      </c>
      <c r="J139" s="3" t="n">
        <f aca="false">INDEX(LINEST($D$1:$I$1,$D139:$I139,,TRUE()),1)</f>
        <v>0.449718578310979</v>
      </c>
      <c r="K139" s="4" t="n">
        <f aca="false">INDEX(LINEST($D$1:$I$1,$D139:$I139,,TRUE()),2)</f>
        <v>0.00054009782956256</v>
      </c>
      <c r="L139" s="4" t="n">
        <f aca="false">INDEX(LINEST($D$1:$I$1,$D139:$I139,,TRUE()),3)</f>
        <v>0.999994230732293</v>
      </c>
      <c r="R139" s="13" t="s">
        <v>18</v>
      </c>
    </row>
    <row r="140" customFormat="false" ht="12.75" hidden="false" customHeight="false" outlineLevel="0" collapsed="false">
      <c r="A140" s="15" t="s">
        <v>239</v>
      </c>
      <c r="B140" s="2" t="n">
        <v>22.5</v>
      </c>
      <c r="C140" s="1" t="n">
        <v>1013.7</v>
      </c>
      <c r="D140" s="2" t="n">
        <v>-0.13</v>
      </c>
      <c r="E140" s="1" t="n">
        <v>22.86</v>
      </c>
      <c r="F140" s="1" t="n">
        <v>45.73</v>
      </c>
      <c r="G140" s="1" t="n">
        <v>66.62</v>
      </c>
      <c r="H140" s="1" t="n">
        <v>91.52</v>
      </c>
      <c r="I140" s="1" t="n">
        <v>114.3</v>
      </c>
      <c r="J140" s="3" t="n">
        <f aca="false">INDEX(LINEST($D$1:$I$1,$D140:$I140,,TRUE()),1)</f>
        <v>0.437883839329027</v>
      </c>
      <c r="K140" s="4" t="n">
        <f aca="false">INDEX(LINEST($D$1:$I$1,$D140:$I140,,TRUE()),2)</f>
        <v>0.00408928981182333</v>
      </c>
      <c r="L140" s="4" t="n">
        <f aca="false">INDEX(LINEST($D$1:$I$1,$D140:$I140,,TRUE()),3)</f>
        <v>0.999651272287654</v>
      </c>
      <c r="R140" s="13" t="s">
        <v>101</v>
      </c>
    </row>
    <row r="141" customFormat="false" ht="12.75" hidden="false" customHeight="false" outlineLevel="0" collapsed="false">
      <c r="J141" s="3"/>
    </row>
    <row r="142" customFormat="false" ht="12.75" hidden="false" customHeight="false" outlineLevel="0" collapsed="false">
      <c r="J142" s="3"/>
    </row>
    <row r="143" customFormat="false" ht="12.75" hidden="false" customHeight="false" outlineLevel="0" collapsed="false">
      <c r="J143" s="3"/>
    </row>
    <row r="144" customFormat="false" ht="12.75" hidden="false" customHeight="false" outlineLevel="0" collapsed="false">
      <c r="J144" s="3"/>
    </row>
    <row r="145" customFormat="false" ht="12.75" hidden="false" customHeight="false" outlineLevel="0" collapsed="false">
      <c r="J145" s="3"/>
    </row>
    <row r="146" customFormat="false" ht="12.75" hidden="false" customHeight="false" outlineLevel="0" collapsed="false">
      <c r="J146" s="3"/>
    </row>
    <row r="147" customFormat="false" ht="12.75" hidden="false" customHeight="false" outlineLevel="0" collapsed="false">
      <c r="J147" s="3"/>
    </row>
    <row r="148" customFormat="false" ht="12.75" hidden="false" customHeight="false" outlineLevel="0" collapsed="false">
      <c r="J148" s="3"/>
    </row>
    <row r="149" customFormat="false" ht="12.75" hidden="false" customHeight="false" outlineLevel="0" collapsed="false">
      <c r="J149" s="3"/>
    </row>
    <row r="150" customFormat="false" ht="12.75" hidden="false" customHeight="false" outlineLevel="0" collapsed="false">
      <c r="J150" s="3"/>
    </row>
    <row r="151" customFormat="false" ht="12.75" hidden="false" customHeight="false" outlineLevel="0" collapsed="false">
      <c r="J151" s="3"/>
    </row>
    <row r="152" customFormat="false" ht="12.75" hidden="false" customHeight="false" outlineLevel="0" collapsed="false">
      <c r="J152" s="3"/>
    </row>
    <row r="153" customFormat="false" ht="12.75" hidden="false" customHeight="false" outlineLevel="0" collapsed="false">
      <c r="J153" s="3"/>
    </row>
    <row r="154" customFormat="false" ht="12.75" hidden="false" customHeight="false" outlineLevel="0" collapsed="false">
      <c r="J154" s="3"/>
    </row>
    <row r="155" customFormat="false" ht="12.75" hidden="false" customHeight="false" outlineLevel="0" collapsed="false">
      <c r="J155" s="3"/>
    </row>
    <row r="156" customFormat="false" ht="12.75" hidden="false" customHeight="false" outlineLevel="0" collapsed="false">
      <c r="J156" s="3"/>
    </row>
    <row r="157" customFormat="false" ht="12.75" hidden="false" customHeight="false" outlineLevel="0" collapsed="false">
      <c r="J157" s="3"/>
    </row>
    <row r="158" customFormat="false" ht="12.75" hidden="false" customHeight="false" outlineLevel="0" collapsed="false">
      <c r="J158" s="3"/>
    </row>
    <row r="159" customFormat="false" ht="12.75" hidden="false" customHeight="false" outlineLevel="0" collapsed="false">
      <c r="J159" s="3"/>
    </row>
    <row r="160" customFormat="false" ht="12.75" hidden="false" customHeight="false" outlineLevel="0" collapsed="false">
      <c r="J160" s="3"/>
    </row>
    <row r="161" customFormat="false" ht="12.75" hidden="false" customHeight="false" outlineLevel="0" collapsed="false">
      <c r="J161" s="3"/>
    </row>
    <row r="162" customFormat="false" ht="12.75" hidden="false" customHeight="false" outlineLevel="0" collapsed="false">
      <c r="J162" s="3"/>
    </row>
    <row r="163" customFormat="false" ht="12.75" hidden="false" customHeight="false" outlineLevel="0" collapsed="false">
      <c r="J163" s="3"/>
    </row>
    <row r="164" customFormat="false" ht="12.75" hidden="false" customHeight="false" outlineLevel="0" collapsed="false">
      <c r="J164" s="3"/>
    </row>
    <row r="165" customFormat="false" ht="12.75" hidden="false" customHeight="false" outlineLevel="0" collapsed="false">
      <c r="J165" s="3"/>
    </row>
    <row r="166" customFormat="false" ht="12.75" hidden="false" customHeight="false" outlineLevel="0" collapsed="false">
      <c r="J166" s="3"/>
    </row>
    <row r="167" customFormat="false" ht="12.75" hidden="false" customHeight="false" outlineLevel="0" collapsed="false">
      <c r="J167" s="3"/>
    </row>
    <row r="168" customFormat="false" ht="12.75" hidden="false" customHeight="false" outlineLevel="0" collapsed="false">
      <c r="J168" s="3"/>
    </row>
    <row r="169" customFormat="false" ht="12.75" hidden="false" customHeight="false" outlineLevel="0" collapsed="false">
      <c r="J169" s="3"/>
    </row>
    <row r="170" customFormat="false" ht="12.75" hidden="false" customHeight="false" outlineLevel="0" collapsed="false">
      <c r="J170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  <Company>geus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2009-04-22T13:06:52Z</dcterms:created>
  <dc:creator>Dirk van As</dc:creator>
  <dc:description/>
  <dc:language>en-US</dc:language>
  <cp:lastModifiedBy/>
  <cp:lastPrinted>2009-09-15T10:46:25Z</cp:lastPrinted>
  <dcterms:modified xsi:type="dcterms:W3CDTF">2026-05-15T13:15:46Z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