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https://geus-my.sharepoint.com/personal/iaste_geus_dk/Documents/GlacioLab/"/>
    </mc:Choice>
  </mc:AlternateContent>
  <xr:revisionPtr revIDLastSave="10535" documentId="8_{CD22ED7A-D21B-402F-962C-26CDF9F2AE38}" xr6:coauthVersionLast="47" xr6:coauthVersionMax="47" xr10:uidLastSave="{9FA9856F-77EF-B34E-9FA6-5AD05EA38C64}"/>
  <bookViews>
    <workbookView xWindow="16040" yWindow="2060" windowWidth="49580" windowHeight="23940" activeTab="1" xr2:uid="{FB4CF503-8AD8-43CF-BCB8-2B61D552829A}"/>
  </bookViews>
  <sheets>
    <sheet name="Readme" sheetId="3" r:id="rId1"/>
    <sheet name="Station Status" sheetId="2" r:id="rId2"/>
    <sheet name="Radiometers" sheetId="4" r:id="rId3"/>
    <sheet name="PTAs" sheetId="5" r:id="rId4"/>
    <sheet name="Archive -&gt;" sheetId="8" r:id="rId5"/>
    <sheet name="Radiometers EOS 2025" sheetId="7" r:id="rId6"/>
  </sheets>
  <externalReferences>
    <externalReference r:id="rId7"/>
  </externalReferences>
  <definedNames>
    <definedName name="_xlnm._FilterDatabase" localSheetId="2" hidden="1">Radiometers!$A$1:$M$74</definedName>
    <definedName name="_xlnm._FilterDatabase" localSheetId="5" hidden="1">'Radiometers EOS 2025'!$A$6:$M$79</definedName>
    <definedName name="_xlnm._FilterDatabase" localSheetId="1" hidden="1">'Station Status'!$A$2:$BF$259</definedName>
    <definedName name="Ablation_type">[1]!Table16[Ablation_type]</definedName>
    <definedName name="Barometer_type">[1]!Table33[Barometer_type]</definedName>
    <definedName name="Battery_box_type">[1]!Table20[Battery_box_type]</definedName>
    <definedName name="Bisgfaard_products">[1]!Table30[Bisgaard_products]</definedName>
    <definedName name="Category_equipment">[1]!Table29[Category_equipment]</definedName>
    <definedName name="Category_inventory">[1]!Table13[(Old) Category inventory]</definedName>
    <definedName name="CNR_type">[1]!Table28[CNR_type]</definedName>
    <definedName name="Condition">[1]!Table12[Condition]</definedName>
    <definedName name="GL_location">[1]!Table35[GL_location]</definedName>
    <definedName name="Humidity_type">[1]!Table6[Humidity_type]</definedName>
    <definedName name="Hygroclip_type">[1]!Table14[Hygroclip_type]</definedName>
    <definedName name="Logger_programs">[1]!Table25[Logger_programs]</definedName>
    <definedName name="Persons">[1]!Table31[Person]</definedName>
    <definedName name="Precipitation_type">[1]Lookups!$M$2:$M$8</definedName>
    <definedName name="Production_status">[1]!Table32[Production_status]</definedName>
    <definedName name="Projects">[1]!Table21[Projects]</definedName>
    <definedName name="Schematics">[1]!Table24[Schematics]</definedName>
    <definedName name="Station_mounting_type">[1]!Table22[Station_mounting_type]</definedName>
    <definedName name="Station_status">[1]!Table27[Station_status]</definedName>
    <definedName name="Station_type">[1]!Table18[Station_type]</definedName>
    <definedName name="Station_version">[1]!Table19[Station_version]</definedName>
    <definedName name="Temperature_type">[1]!Table8[Temperature_type]</definedName>
    <definedName name="Thermistorstring_type">[1]!Table15[Thermistorstring_type]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 i="5" l="1"/>
  <c r="N18" i="5"/>
  <c r="K56" i="4"/>
  <c r="L56" i="4" s="1"/>
  <c r="M8" i="5"/>
  <c r="M17" i="5"/>
  <c r="M16" i="5"/>
  <c r="M15" i="5"/>
  <c r="M14" i="5"/>
  <c r="M13" i="5"/>
  <c r="M12" i="5"/>
  <c r="M11" i="5"/>
  <c r="M10" i="5"/>
  <c r="M9" i="5"/>
  <c r="M4" i="5"/>
  <c r="M3" i="5"/>
  <c r="M7" i="5"/>
  <c r="M5" i="5"/>
  <c r="M6" i="5"/>
  <c r="K102" i="7"/>
  <c r="L102" i="7"/>
  <c r="K101" i="7"/>
  <c r="L101" i="7"/>
  <c r="K100" i="7"/>
  <c r="L100" i="7"/>
  <c r="K99" i="7"/>
  <c r="L99" i="7"/>
  <c r="K98" i="7"/>
  <c r="L98" i="7"/>
  <c r="K97" i="7"/>
  <c r="L97" i="7"/>
  <c r="K96" i="7"/>
  <c r="L96" i="7"/>
  <c r="K95" i="7"/>
  <c r="L95" i="7"/>
  <c r="K94" i="7"/>
  <c r="L94" i="7"/>
  <c r="K93" i="7"/>
  <c r="L93" i="7"/>
  <c r="K92" i="7"/>
  <c r="L92" i="7"/>
  <c r="K87" i="7"/>
  <c r="L87" i="7"/>
  <c r="K86" i="7"/>
  <c r="L86" i="7"/>
  <c r="K85" i="7"/>
  <c r="L85" i="7"/>
  <c r="K84" i="7"/>
  <c r="L84" i="7"/>
  <c r="K83" i="7"/>
  <c r="L83" i="7"/>
  <c r="K79" i="7"/>
  <c r="L79" i="7"/>
  <c r="K78" i="7"/>
  <c r="L78" i="7"/>
  <c r="K77" i="7"/>
  <c r="L77" i="7"/>
  <c r="K76" i="7"/>
  <c r="L76" i="7"/>
  <c r="K75" i="7"/>
  <c r="L75" i="7"/>
  <c r="K74" i="7"/>
  <c r="L74" i="7"/>
  <c r="K73" i="7"/>
  <c r="L73" i="7"/>
  <c r="K72" i="7"/>
  <c r="L72" i="7"/>
  <c r="K71" i="7"/>
  <c r="L71" i="7"/>
  <c r="K70" i="7"/>
  <c r="L70" i="7"/>
  <c r="K69" i="7"/>
  <c r="L69" i="7"/>
  <c r="K68" i="7"/>
  <c r="L68" i="7"/>
  <c r="K67" i="7"/>
  <c r="L67" i="7"/>
  <c r="K66" i="7"/>
  <c r="L66" i="7"/>
  <c r="K65" i="7"/>
  <c r="L65" i="7"/>
  <c r="K64" i="7"/>
  <c r="L64" i="7"/>
  <c r="K63" i="7"/>
  <c r="L63" i="7"/>
  <c r="K62" i="7"/>
  <c r="L62" i="7"/>
  <c r="K61" i="7"/>
  <c r="L61" i="7"/>
  <c r="K60" i="7"/>
  <c r="L60" i="7"/>
  <c r="K59" i="7"/>
  <c r="L59" i="7"/>
  <c r="K58" i="7"/>
  <c r="L58" i="7"/>
  <c r="K57" i="7"/>
  <c r="L57" i="7"/>
  <c r="K56" i="7"/>
  <c r="L56" i="7"/>
  <c r="K55" i="7"/>
  <c r="L55" i="7"/>
  <c r="K54" i="7"/>
  <c r="L54" i="7"/>
  <c r="K53" i="7"/>
  <c r="L53" i="7"/>
  <c r="K52" i="7"/>
  <c r="L52" i="7"/>
  <c r="K51" i="7"/>
  <c r="L51" i="7"/>
  <c r="K50" i="7"/>
  <c r="L50" i="7"/>
  <c r="K49" i="7"/>
  <c r="L49" i="7"/>
  <c r="K48" i="7"/>
  <c r="L48" i="7"/>
  <c r="K47" i="7"/>
  <c r="L47" i="7"/>
  <c r="K46" i="7"/>
  <c r="L46" i="7"/>
  <c r="K45" i="7"/>
  <c r="L45" i="7"/>
  <c r="K44" i="7"/>
  <c r="L44" i="7"/>
  <c r="K43" i="7"/>
  <c r="L43" i="7"/>
  <c r="K42" i="7"/>
  <c r="L42" i="7"/>
  <c r="K41" i="7"/>
  <c r="L41" i="7"/>
  <c r="K40" i="7"/>
  <c r="L40" i="7"/>
  <c r="K39" i="7"/>
  <c r="L39" i="7"/>
  <c r="K38" i="7"/>
  <c r="L38" i="7"/>
  <c r="K37" i="7"/>
  <c r="L37" i="7"/>
  <c r="K36" i="7"/>
  <c r="L36" i="7"/>
  <c r="K35" i="7"/>
  <c r="L35" i="7"/>
  <c r="K34" i="7"/>
  <c r="L34" i="7"/>
  <c r="K33" i="7"/>
  <c r="L33" i="7"/>
  <c r="K32" i="7"/>
  <c r="L32" i="7"/>
  <c r="K31" i="7"/>
  <c r="L31" i="7"/>
  <c r="K30" i="7"/>
  <c r="L30" i="7"/>
  <c r="K29" i="7"/>
  <c r="L29" i="7"/>
  <c r="K28" i="7"/>
  <c r="L28" i="7"/>
  <c r="K27" i="7"/>
  <c r="L27" i="7"/>
  <c r="K26" i="7"/>
  <c r="L26" i="7"/>
  <c r="K25" i="7"/>
  <c r="L25" i="7"/>
  <c r="K24" i="7"/>
  <c r="L24" i="7"/>
  <c r="K23" i="7"/>
  <c r="L23" i="7"/>
  <c r="K22" i="7"/>
  <c r="L22" i="7"/>
  <c r="K21" i="7"/>
  <c r="L21" i="7"/>
  <c r="K20" i="7"/>
  <c r="L20" i="7"/>
  <c r="K19" i="7"/>
  <c r="L19" i="7"/>
  <c r="K18" i="7"/>
  <c r="L18" i="7"/>
  <c r="K17" i="7"/>
  <c r="L17" i="7"/>
  <c r="K16" i="7"/>
  <c r="L16" i="7"/>
  <c r="K15" i="7"/>
  <c r="L15" i="7"/>
  <c r="K14" i="7"/>
  <c r="L14" i="7"/>
  <c r="K13" i="7"/>
  <c r="L13" i="7"/>
  <c r="K12" i="7"/>
  <c r="L12" i="7"/>
  <c r="K11" i="7"/>
  <c r="L11" i="7"/>
  <c r="K10" i="7"/>
  <c r="L10" i="7"/>
  <c r="K9" i="7"/>
  <c r="L9" i="7"/>
  <c r="K8" i="7"/>
  <c r="L8" i="7"/>
  <c r="K7" i="7"/>
  <c r="L7" i="7"/>
  <c r="K38" i="4"/>
  <c r="L38" i="4"/>
  <c r="K83" i="4"/>
  <c r="L83" i="4"/>
  <c r="K28" i="4"/>
  <c r="L28" i="4"/>
  <c r="K29" i="4"/>
  <c r="L29" i="4"/>
  <c r="K32" i="4"/>
  <c r="L32" i="4"/>
  <c r="K33" i="4"/>
  <c r="L33" i="4"/>
  <c r="K36" i="4"/>
  <c r="L36" i="4"/>
  <c r="K37" i="4"/>
  <c r="L37" i="4"/>
  <c r="K10" i="4"/>
  <c r="K12" i="4"/>
  <c r="L12" i="4" s="1"/>
  <c r="K18" i="4"/>
  <c r="L18" i="4" s="1"/>
  <c r="K19" i="4"/>
  <c r="L19" i="4" s="1"/>
  <c r="K21" i="4"/>
  <c r="K23" i="4"/>
  <c r="L23" i="4" s="1"/>
  <c r="K24" i="4"/>
  <c r="L24" i="4" s="1"/>
  <c r="K22" i="4"/>
  <c r="L22" i="4" s="1"/>
  <c r="K20" i="4"/>
  <c r="L20" i="4" s="1"/>
  <c r="K15" i="4"/>
  <c r="L15" i="4" s="1"/>
  <c r="K14" i="4"/>
  <c r="L14" i="4" s="1"/>
  <c r="K11" i="4"/>
  <c r="L11" i="4" s="1"/>
  <c r="K59" i="4"/>
  <c r="K17" i="4"/>
  <c r="L17" i="4" s="1"/>
  <c r="K55" i="4"/>
  <c r="L55" i="4" s="1"/>
  <c r="K74" i="4"/>
  <c r="L74" i="4" s="1"/>
  <c r="K26" i="4"/>
  <c r="L26" i="4" s="1"/>
  <c r="K66" i="4"/>
  <c r="L66" i="4" s="1"/>
  <c r="K70" i="4"/>
  <c r="L70" i="4" s="1"/>
  <c r="K76" i="4"/>
  <c r="K80" i="4"/>
  <c r="L80" i="4" s="1"/>
  <c r="K97" i="4"/>
  <c r="L97" i="4" s="1"/>
  <c r="K5" i="4"/>
  <c r="L5" i="4" s="1"/>
  <c r="K8" i="4"/>
  <c r="L8" i="4" s="1"/>
  <c r="K16" i="4"/>
  <c r="L16" i="4" s="1"/>
  <c r="K81" i="4"/>
  <c r="L81" i="4" s="1"/>
  <c r="K87" i="4"/>
  <c r="L87" i="4" s="1"/>
  <c r="K27" i="4"/>
  <c r="L27" i="4" s="1"/>
  <c r="K30" i="4"/>
  <c r="L30" i="4" s="1"/>
  <c r="K68" i="4"/>
  <c r="L68" i="4" s="1"/>
  <c r="K77" i="4"/>
  <c r="L77" i="4" s="1"/>
  <c r="K93" i="4"/>
  <c r="L93" i="4" s="1"/>
  <c r="K79" i="4"/>
  <c r="L79" i="4" s="1"/>
  <c r="K86" i="4"/>
  <c r="L86" i="4" s="1"/>
  <c r="K71" i="4"/>
  <c r="L71" i="4" s="1"/>
  <c r="K65" i="4"/>
  <c r="L65" i="4" s="1"/>
  <c r="K84" i="4"/>
  <c r="L84" i="4" s="1"/>
  <c r="K40" i="4"/>
  <c r="L40" i="4" s="1"/>
  <c r="K94" i="4"/>
  <c r="L94" i="4" s="1"/>
  <c r="K25" i="4"/>
  <c r="L25" i="4" s="1"/>
  <c r="K2" i="4"/>
  <c r="L2" i="4" s="1"/>
  <c r="K31" i="4"/>
  <c r="L31" i="4" s="1"/>
  <c r="K47" i="4"/>
  <c r="L47" i="4" s="1"/>
  <c r="K9" i="4"/>
  <c r="L9" i="4" s="1"/>
  <c r="K52" i="4"/>
  <c r="L52" i="4" s="1"/>
  <c r="K7" i="4"/>
  <c r="L7" i="4" s="1"/>
  <c r="K61" i="4"/>
  <c r="L61" i="4" s="1"/>
  <c r="K60" i="4"/>
  <c r="L60" i="4" s="1"/>
  <c r="K89" i="4"/>
  <c r="L89" i="4" s="1"/>
  <c r="K48" i="4"/>
  <c r="L48" i="4" s="1"/>
  <c r="K88" i="4"/>
  <c r="L88" i="4" s="1"/>
  <c r="K44" i="4"/>
  <c r="L44" i="4" s="1"/>
  <c r="K73" i="4"/>
  <c r="L73" i="4" s="1"/>
  <c r="K96" i="4"/>
  <c r="L96" i="4"/>
  <c r="K43" i="4"/>
  <c r="L43" i="4" s="1"/>
  <c r="K67" i="4"/>
  <c r="L67" i="4" s="1"/>
  <c r="K62" i="4"/>
  <c r="L62" i="4" s="1"/>
  <c r="K85" i="4"/>
  <c r="L85" i="4" s="1"/>
  <c r="K3" i="4"/>
  <c r="L3" i="4" s="1"/>
  <c r="K64" i="4"/>
  <c r="L64" i="4" s="1"/>
  <c r="K41" i="4"/>
  <c r="L41" i="4"/>
  <c r="K54" i="4"/>
  <c r="L54" i="4"/>
  <c r="K53" i="4"/>
  <c r="L53" i="4" s="1"/>
  <c r="K35" i="4"/>
  <c r="L35" i="4" s="1"/>
  <c r="K51" i="4"/>
  <c r="L51" i="4" s="1"/>
  <c r="K78" i="4"/>
  <c r="L78" i="4" s="1"/>
  <c r="K34" i="4"/>
  <c r="L34" i="4"/>
  <c r="K50" i="4"/>
  <c r="L50" i="4" s="1"/>
  <c r="K46" i="4"/>
  <c r="L46" i="4" s="1"/>
  <c r="K95" i="4"/>
  <c r="L95" i="4" s="1"/>
  <c r="K4" i="4"/>
  <c r="L4" i="4" s="1"/>
  <c r="K63" i="4"/>
  <c r="L63" i="4" s="1"/>
  <c r="K13" i="4"/>
  <c r="L13" i="4" s="1"/>
  <c r="K91" i="4"/>
  <c r="L91" i="4" s="1"/>
  <c r="K75" i="4"/>
  <c r="L75" i="4" s="1"/>
  <c r="K92" i="4"/>
  <c r="L92" i="4" s="1"/>
  <c r="K90" i="4"/>
  <c r="L90" i="4" s="1"/>
  <c r="K49" i="4"/>
  <c r="L49" i="4" s="1"/>
  <c r="K82" i="4"/>
  <c r="L82" i="4" s="1"/>
  <c r="K39" i="4"/>
  <c r="L39" i="4" s="1"/>
  <c r="K6" i="4"/>
  <c r="L6" i="4" s="1"/>
  <c r="L59" i="4"/>
  <c r="L76" i="4"/>
  <c r="L10" i="4"/>
  <c r="L21" i="4"/>
  <c r="N9" i="5"/>
  <c r="N10" i="5"/>
  <c r="N8" i="5"/>
  <c r="N11" i="5"/>
  <c r="N12" i="5"/>
  <c r="N13" i="5"/>
  <c r="N14" i="5"/>
  <c r="N15" i="5"/>
  <c r="N16" i="5"/>
  <c r="N17" i="5"/>
  <c r="N3" i="5"/>
  <c r="N7" i="5"/>
  <c r="N5" i="5"/>
  <c r="N4" i="5"/>
  <c r="N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tc={A5EE39D0-FED6-DA41-9C62-52EE9D502E90}</author>
  </authors>
  <commentList>
    <comment ref="E27" authorId="0" shapeId="0" xr:uid="{A5EE39D0-FED6-DA41-9C62-52EE9D502E90}">
      <text>
        <t>[Threaded comment]
Your version of Excel allows you to read this threaded comment; however, any edits to it will get removed if the file is opened in a newer version of Excel. Learn more: https://go.microsoft.com/fwlink/?linkid=870924
Comment:
    It was incorrectly registered as HUM. This has to be corrected.
Reply:
    Looks quite certain this is at UPE_U. The serial is recorded from a sticker on the side of the mount plate, which is new as of 2026 (new type)</t>
      </text>
    </comment>
  </commentList>
</comments>
</file>

<file path=xl/sharedStrings.xml><?xml version="1.0" encoding="utf-8"?>
<sst xmlns="http://schemas.openxmlformats.org/spreadsheetml/2006/main" count="5202" uniqueCount="683">
  <si>
    <t>UPDATE LOG</t>
  </si>
  <si>
    <t>Trips 2026</t>
  </si>
  <si>
    <t>ZAK</t>
  </si>
  <si>
    <t>Updated</t>
  </si>
  <si>
    <t>GCN-N</t>
  </si>
  <si>
    <t>GCN-S</t>
  </si>
  <si>
    <t>THU</t>
  </si>
  <si>
    <t>KPC</t>
  </si>
  <si>
    <t>NUK</t>
  </si>
  <si>
    <t>ILU</t>
  </si>
  <si>
    <t>UPE</t>
  </si>
  <si>
    <t>KAN</t>
  </si>
  <si>
    <t>QAS</t>
  </si>
  <si>
    <t>TAS</t>
  </si>
  <si>
    <t>METADATA</t>
  </si>
  <si>
    <t>LOGGERBOX</t>
  </si>
  <si>
    <t>UNIVERSAL SENSORS</t>
  </si>
  <si>
    <t>PROMICE SENSORS</t>
  </si>
  <si>
    <t>GC-NET SENSORS</t>
  </si>
  <si>
    <t>POWER</t>
  </si>
  <si>
    <t>ADDITIONAL SENSORS</t>
  </si>
  <si>
    <t>NOTES</t>
  </si>
  <si>
    <t>Station Name</t>
  </si>
  <si>
    <t>Site</t>
  </si>
  <si>
    <t>Visited</t>
  </si>
  <si>
    <t>Record Status</t>
  </si>
  <si>
    <t>Status EOS 2026</t>
  </si>
  <si>
    <t>Project</t>
  </si>
  <si>
    <t>Station Version</t>
  </si>
  <si>
    <t>Station Version Note</t>
  </si>
  <si>
    <t>Site Type</t>
  </si>
  <si>
    <t>Visit Type</t>
  </si>
  <si>
    <t>Loggerbox Serial</t>
  </si>
  <si>
    <t>Logger Type</t>
  </si>
  <si>
    <t>Logger Serial</t>
  </si>
  <si>
    <t>Logger OS version</t>
  </si>
  <si>
    <t>Logger Program</t>
  </si>
  <si>
    <t>Loggerbox Wiring Schematic</t>
  </si>
  <si>
    <t>Modem IMEI</t>
  </si>
  <si>
    <t>Radiometer Type</t>
  </si>
  <si>
    <t>Radiometer Serial No</t>
  </si>
  <si>
    <t>Radiometer Calibration Year</t>
  </si>
  <si>
    <t>Barometer Type</t>
  </si>
  <si>
    <t>Barometer Installed</t>
  </si>
  <si>
    <t>T-String Type</t>
  </si>
  <si>
    <t>T-String Installed</t>
  </si>
  <si>
    <t>Ablation Type</t>
  </si>
  <si>
    <t>Ablation Installed</t>
  </si>
  <si>
    <t>SR50 Stake Installed</t>
  </si>
  <si>
    <t>SR50 Station Installed</t>
  </si>
  <si>
    <t>Lufft Boom Installed</t>
  </si>
  <si>
    <t>PTA Serial No</t>
  </si>
  <si>
    <t>WSD Boom Type</t>
  </si>
  <si>
    <t>WSD Boom Installed</t>
  </si>
  <si>
    <t>v2 Inclinometer Installed</t>
  </si>
  <si>
    <t>Rotronic Type</t>
  </si>
  <si>
    <t>Rotronic Installed</t>
  </si>
  <si>
    <t>SR50 Upper Installed</t>
  </si>
  <si>
    <t>SR50 Lower Installed</t>
  </si>
  <si>
    <t>Lufft Upper</t>
  </si>
  <si>
    <t>Lufft Lower</t>
  </si>
  <si>
    <t>Vaisla Upper Installed</t>
  </si>
  <si>
    <t>Vaisla Lower Installed</t>
  </si>
  <si>
    <t>WSD Upper Type</t>
  </si>
  <si>
    <t>WSD Upper Installed</t>
  </si>
  <si>
    <t>WSD Lower Type</t>
  </si>
  <si>
    <t>WSD Lower Installed</t>
  </si>
  <si>
    <t>Solar Panel Installed</t>
  </si>
  <si>
    <t>Wind Turbine Type</t>
  </si>
  <si>
    <t>Wind Turbine Installed</t>
  </si>
  <si>
    <t>Regulator Type</t>
  </si>
  <si>
    <t>Regulator Installed</t>
  </si>
  <si>
    <t>Battery Box Type</t>
  </si>
  <si>
    <t>Battery Box Installed</t>
  </si>
  <si>
    <t>Other Sensor 1 Type</t>
  </si>
  <si>
    <t>Other Sensor 1 Installled</t>
  </si>
  <si>
    <t>Other Sensor 2 Type</t>
  </si>
  <si>
    <t>Other Sensor 2 Installled</t>
  </si>
  <si>
    <t>Notes</t>
  </si>
  <si>
    <t>Notes for next visit</t>
  </si>
  <si>
    <t>CEN</t>
  </si>
  <si>
    <t>Complete</t>
  </si>
  <si>
    <t>Decomissioned</t>
  </si>
  <si>
    <t>GC-Net</t>
  </si>
  <si>
    <t>Historical</t>
  </si>
  <si>
    <t>Accumulation</t>
  </si>
  <si>
    <t>Install</t>
  </si>
  <si>
    <t>Original station at CEN, installed in 1995 and decomissioned in 2022. Replaced with CEN2.</t>
  </si>
  <si>
    <t>Decomission</t>
  </si>
  <si>
    <t>TUN</t>
  </si>
  <si>
    <t>Operational</t>
  </si>
  <si>
    <t>GC-Net v4</t>
  </si>
  <si>
    <t>Field rewired GC-Net v3 box</t>
  </si>
  <si>
    <t>Maintianance</t>
  </si>
  <si>
    <t>M3-004</t>
  </si>
  <si>
    <t>CR1000X</t>
  </si>
  <si>
    <t>CR1000X.06.00.Std</t>
  </si>
  <si>
    <t>GCNETv3_2</t>
  </si>
  <si>
    <t>CNR4 Inclinometer</t>
  </si>
  <si>
    <t>Setra 278</t>
  </si>
  <si>
    <t>GC-Net Digital Pipe</t>
  </si>
  <si>
    <t>Black</t>
  </si>
  <si>
    <t>4 x Victron AGM 60Ah</t>
  </si>
  <si>
    <t>EGP</t>
  </si>
  <si>
    <t>M4-09</t>
  </si>
  <si>
    <t>CR1000X.Std.06.02</t>
  </si>
  <si>
    <t xml:space="preserve"> GCNETv3.2</t>
  </si>
  <si>
    <t>GCNET V7.0</t>
  </si>
  <si>
    <t>GC-Net Digital PP</t>
  </si>
  <si>
    <t>Unknown</t>
  </si>
  <si>
    <t>White</t>
  </si>
  <si>
    <t xml:space="preserve"> 6 x Yuasa VRLA 38 Ah</t>
  </si>
  <si>
    <t>SUM</t>
  </si>
  <si>
    <t>M4-12</t>
  </si>
  <si>
    <t>GCNET V7.2</t>
  </si>
  <si>
    <t>213271</t>
  </si>
  <si>
    <t>STA</t>
  </si>
  <si>
    <t>M4-13</t>
  </si>
  <si>
    <t>CR1000Xe</t>
  </si>
  <si>
    <t>CR.1000X.8.2.1</t>
  </si>
  <si>
    <t>213253</t>
  </si>
  <si>
    <t>NAE</t>
  </si>
  <si>
    <t>M4-11</t>
  </si>
  <si>
    <t>CR1000X.8.3.0</t>
  </si>
  <si>
    <t>unknown</t>
  </si>
  <si>
    <t>NAU</t>
  </si>
  <si>
    <t>M4-08</t>
  </si>
  <si>
    <t>GCNETv3.2</t>
  </si>
  <si>
    <t>no sensor</t>
  </si>
  <si>
    <t>Needs new lufft. Needs new upper SR50 cable.</t>
  </si>
  <si>
    <t>CEN-THM</t>
  </si>
  <si>
    <t>Non-Standard</t>
  </si>
  <si>
    <t>Deep T-String Station</t>
  </si>
  <si>
    <t>Data Download</t>
  </si>
  <si>
    <t>No Serial</t>
  </si>
  <si>
    <t>CR6</t>
  </si>
  <si>
    <t>CR6.Std.05.01</t>
  </si>
  <si>
    <t>CC_MAIN_V3</t>
  </si>
  <si>
    <t>Unique</t>
  </si>
  <si>
    <t>iButton Digital</t>
  </si>
  <si>
    <t xml:space="preserve"> 4 x Panasonic LA 28 Ah</t>
  </si>
  <si>
    <t>CEN2</t>
  </si>
  <si>
    <t>M4-16</t>
  </si>
  <si>
    <t>CR1000X.Std.8.2.1</t>
  </si>
  <si>
    <t>GC-Netv3.2.CR1X</t>
  </si>
  <si>
    <t>GCNET v7.3</t>
  </si>
  <si>
    <t>GC-Net Digitial PP</t>
  </si>
  <si>
    <t>HUM</t>
  </si>
  <si>
    <t>M4-15</t>
  </si>
  <si>
    <t>CR1000X.8.4.0</t>
  </si>
  <si>
    <t>GCNET V7.3</t>
  </si>
  <si>
    <t>090115</t>
  </si>
  <si>
    <t>NEM</t>
  </si>
  <si>
    <t>M4-02</t>
  </si>
  <si>
    <t>CP1</t>
  </si>
  <si>
    <t>GC-Net v3</t>
  </si>
  <si>
    <t>M3-0008</t>
  </si>
  <si>
    <t>GCNETv2_7</t>
  </si>
  <si>
    <t>244249</t>
  </si>
  <si>
    <t>GC Net Digital PP</t>
  </si>
  <si>
    <t>OGRE GNSS v26</t>
  </si>
  <si>
    <t>T-String cannot be extended, requires a complete replacement - but note pipe is in place and that can be reused. Some physical damage to logger enclosure mounting, this should be replaced (maybe a chance to upgrade to v4?)</t>
  </si>
  <si>
    <t>DY2</t>
  </si>
  <si>
    <t>DYE2</t>
  </si>
  <si>
    <t>CR1000X.Std.8.5.1</t>
  </si>
  <si>
    <t>212890</t>
  </si>
  <si>
    <t>DY2-SF</t>
  </si>
  <si>
    <t>FinApp Power Station</t>
  </si>
  <si>
    <t>Maintenance</t>
  </si>
  <si>
    <t>M4-14</t>
  </si>
  <si>
    <t>CR1000X.8.5.0</t>
  </si>
  <si>
    <t>SR_DY2_v1,0</t>
  </si>
  <si>
    <t>PWR_ST_TS45.pdf SR_DY2.pdf (Rev 1,0)</t>
  </si>
  <si>
    <t>Morningstar TS45</t>
  </si>
  <si>
    <t>3 x Victron AGM 60Ah</t>
  </si>
  <si>
    <t>FinApp</t>
  </si>
  <si>
    <t>Snowfox</t>
  </si>
  <si>
    <t xml:space="preserve">Physical damage to loggerbox mounting. Replace or plan repair. </t>
  </si>
  <si>
    <t>DYE2-CC</t>
  </si>
  <si>
    <t>Snow Compaction</t>
  </si>
  <si>
    <t>CR800</t>
  </si>
  <si>
    <t>CR800.Std.31</t>
  </si>
  <si>
    <t>FirnCompactionStation_2023_V1_0.CR8</t>
  </si>
  <si>
    <t>Custom</t>
  </si>
  <si>
    <t>1 x Panasonic 28Ah Integrated</t>
  </si>
  <si>
    <t>Comapction Coffee Can</t>
  </si>
  <si>
    <t>SDL</t>
  </si>
  <si>
    <t>M3-0006</t>
  </si>
  <si>
    <t>GCNET V6.0</t>
  </si>
  <si>
    <t>110560</t>
  </si>
  <si>
    <t>KAN_U</t>
  </si>
  <si>
    <t>M3-0007</t>
  </si>
  <si>
    <t>GCNET_schematic_V6_0.pdf</t>
  </si>
  <si>
    <t>GC Net Digital Pipe</t>
  </si>
  <si>
    <t>pre-2024</t>
  </si>
  <si>
    <t>Station was dropped onto radiometer, replace in 2027</t>
  </si>
  <si>
    <t>CrawfordPoint1</t>
  </si>
  <si>
    <t>SDM</t>
  </si>
  <si>
    <t>M4-10</t>
  </si>
  <si>
    <t>213255</t>
  </si>
  <si>
    <t>Replace lufft cable in 2027 (broken plug)</t>
  </si>
  <si>
    <t>NSE</t>
  </si>
  <si>
    <t>M3-0003</t>
  </si>
  <si>
    <t>New loggerbox needed for 2027 - USB port on logger is unstable (also mark this so the returned logger is not reused). New solar panel (plug damage).</t>
  </si>
  <si>
    <t>FRE</t>
  </si>
  <si>
    <t>GlacioBasis</t>
  </si>
  <si>
    <t>PROMICE v2</t>
  </si>
  <si>
    <t>Ablation (Glacier)</t>
  </si>
  <si>
    <t>No serial</t>
  </si>
  <si>
    <t>CR1000</t>
  </si>
  <si>
    <t>E9348</t>
  </si>
  <si>
    <t>CR1000.std.16</t>
  </si>
  <si>
    <t>PROMICE_V2_2022_V1_1</t>
  </si>
  <si>
    <t>PROMICE_2016_wiring.xlsx</t>
  </si>
  <si>
    <t>CNR4</t>
  </si>
  <si>
    <t>090113</t>
  </si>
  <si>
    <t>PROMICE Analogue</t>
  </si>
  <si>
    <t>PTA</t>
  </si>
  <si>
    <t>Square</t>
  </si>
  <si>
    <t>ZAC_A</t>
  </si>
  <si>
    <t>Glaciobasis</t>
  </si>
  <si>
    <t>GC-Net v2</t>
  </si>
  <si>
    <t>T3B-0003</t>
  </si>
  <si>
    <t>GCNETv2_6</t>
  </si>
  <si>
    <t>213254</t>
  </si>
  <si>
    <t>GC Net Digital in Pipe</t>
  </si>
  <si>
    <t>ZAC_U-v3</t>
  </si>
  <si>
    <t>ZAC_U</t>
  </si>
  <si>
    <t>PROMICE v3</t>
  </si>
  <si>
    <t>Beta</t>
  </si>
  <si>
    <t>Ablation</t>
  </si>
  <si>
    <t>CR1000X.Std.05.01</t>
  </si>
  <si>
    <t>PROMICEv3_Beta_1_1</t>
  </si>
  <si>
    <t>PROMICEv3_version3.pdf</t>
  </si>
  <si>
    <t>None</t>
  </si>
  <si>
    <t>Lead acid old PROMICE</t>
  </si>
  <si>
    <t>Station v chaotic. Consider new battery box (+ mounting wires), radiometer, loggerbox, t-string, weighted leg extensions in 2027</t>
  </si>
  <si>
    <t>ZAC_L-v3</t>
  </si>
  <si>
    <t>ZAC_L</t>
  </si>
  <si>
    <t>Beta Rewired</t>
  </si>
  <si>
    <t>T3B-20</t>
  </si>
  <si>
    <t>CR.1000X.Std.8.2.1</t>
  </si>
  <si>
    <t>PROMICE v3 Rewired 1,5</t>
  </si>
  <si>
    <t>PROMICEv3_rewired_1_0_1_schematic.pdf</t>
  </si>
  <si>
    <t>212891</t>
  </si>
  <si>
    <t>PROMICE Digital</t>
  </si>
  <si>
    <t>NiMH Panasonic 60 Ah x4</t>
  </si>
  <si>
    <t>Needs new PTA in 2027</t>
  </si>
  <si>
    <t>KAN_T-v3</t>
  </si>
  <si>
    <t>KAN_T</t>
  </si>
  <si>
    <t>PROMICE</t>
  </si>
  <si>
    <t>T3B-10</t>
  </si>
  <si>
    <t>06.02</t>
  </si>
  <si>
    <t>PROMICEv3_Rewired_1_5</t>
  </si>
  <si>
    <t>PROMICEv3_rewired_1_0_schematic.pdf</t>
  </si>
  <si>
    <t>Requires new T-String 2026</t>
  </si>
  <si>
    <t>TAS_A-v3</t>
  </si>
  <si>
    <t>TAS_A</t>
  </si>
  <si>
    <t>T3B-14</t>
  </si>
  <si>
    <t>OS 06.02</t>
  </si>
  <si>
    <t>244327</t>
  </si>
  <si>
    <t>Needs correct lufft mount (currently lufft is mounted on the boom with GC-Net style spacer). Needs wire tightner + new tripod leg. WSD and SR50 are installed the wrong way round - SR50 should be at the end of the boom (no hardware needed).</t>
  </si>
  <si>
    <t>DYE-2</t>
  </si>
  <si>
    <t>TAS_L</t>
  </si>
  <si>
    <t>Foot Extension</t>
  </si>
  <si>
    <t>T2-006</t>
  </si>
  <si>
    <t>E6844</t>
  </si>
  <si>
    <t>CR1000.Std.16</t>
  </si>
  <si>
    <t>PROMICE_V2_2022_V1_2</t>
  </si>
  <si>
    <t>CNR1</t>
  </si>
  <si>
    <t>030710</t>
  </si>
  <si>
    <t>Rectangle</t>
  </si>
  <si>
    <t xml:space="preserve"> Needs new inclinometer (v2) + WSD</t>
  </si>
  <si>
    <t>QAS_M-v3</t>
  </si>
  <si>
    <t>QAS_M</t>
  </si>
  <si>
    <t>T3B-0007</t>
  </si>
  <si>
    <t>CNR 4 Inclinometer</t>
  </si>
  <si>
    <t>Needs new tripod. PTA exposed by 8.25m - replace.</t>
  </si>
  <si>
    <t>QAS_U-v3</t>
  </si>
  <si>
    <t>QAS_U</t>
  </si>
  <si>
    <t>PROMICEv3_rewired_1_1_schematic.pdf</t>
  </si>
  <si>
    <t>202379</t>
  </si>
  <si>
    <t xml:space="preserve"> Needs new tripod and t-string. Note a lot of PTA waste to remove!</t>
  </si>
  <si>
    <t>QAS_L-v3</t>
  </si>
  <si>
    <t>QAS_L</t>
  </si>
  <si>
    <t>T3B-21</t>
  </si>
  <si>
    <t>Needs new t-string and splitter, new boom, new WSD mount (WSD fused)</t>
  </si>
  <si>
    <t>EastGrip</t>
  </si>
  <si>
    <t>Tripod / GCNet V2 mix</t>
  </si>
  <si>
    <t>PROMICE2015e</t>
  </si>
  <si>
    <t>150710</t>
  </si>
  <si>
    <t>Round</t>
  </si>
  <si>
    <t>KAN_B</t>
  </si>
  <si>
    <t>Precipitation (Bucket)</t>
  </si>
  <si>
    <t>Bedrock</t>
  </si>
  <si>
    <t>E2102</t>
  </si>
  <si>
    <t>GRASP2014v1.CR1</t>
  </si>
  <si>
    <t>080023</t>
  </si>
  <si>
    <t>pre-2023</t>
  </si>
  <si>
    <t>none</t>
  </si>
  <si>
    <t>Geonor Bucket Precipitation</t>
  </si>
  <si>
    <t>KAN_M</t>
  </si>
  <si>
    <t>PROMICEv2</t>
  </si>
  <si>
    <t>T2-0005</t>
  </si>
  <si>
    <t>E7588</t>
  </si>
  <si>
    <t>071367</t>
  </si>
  <si>
    <t>KAN_L-v3</t>
  </si>
  <si>
    <t>KAN_L</t>
  </si>
  <si>
    <t>T3B-0008</t>
  </si>
  <si>
    <t>PROMICEv3_Rewired_1_4</t>
  </si>
  <si>
    <t>If battery is not charging needs new battery box in 2026 (charging fine Feb 2026). Needs new splitter 2026.</t>
  </si>
  <si>
    <t>JAR_O-v3</t>
  </si>
  <si>
    <t>JR1_O</t>
  </si>
  <si>
    <t>v3 Beta Rewired</t>
  </si>
  <si>
    <t>SWC_O_v3</t>
  </si>
  <si>
    <t>SWC_O</t>
  </si>
  <si>
    <t>ELA</t>
  </si>
  <si>
    <t>SCO_L-v3</t>
  </si>
  <si>
    <t>SCO_L</t>
  </si>
  <si>
    <t>Beta Rewire</t>
  </si>
  <si>
    <t>T3B-15</t>
  </si>
  <si>
    <t>120772</t>
  </si>
  <si>
    <t>SCO_U-v3</t>
  </si>
  <si>
    <t>SCO_U</t>
  </si>
  <si>
    <t>T3B-17</t>
  </si>
  <si>
    <t>181890</t>
  </si>
  <si>
    <t>Needs new loggerbox.</t>
  </si>
  <si>
    <t xml:space="preserve"> </t>
  </si>
  <si>
    <t>M4-05</t>
  </si>
  <si>
    <t>GCNET v7.0</t>
  </si>
  <si>
    <t>Top-up battery box removed</t>
  </si>
  <si>
    <t>Replace logger and battery box</t>
  </si>
  <si>
    <t>M4-03</t>
  </si>
  <si>
    <t>NUK_L-v3</t>
  </si>
  <si>
    <t>NUK_L</t>
  </si>
  <si>
    <t>T3B-13</t>
  </si>
  <si>
    <t>CR.1000X.Std.06.02</t>
  </si>
  <si>
    <t>202705</t>
  </si>
  <si>
    <t>Humboldt</t>
  </si>
  <si>
    <t>JAR</t>
  </si>
  <si>
    <t>JR1</t>
  </si>
  <si>
    <t>Alpha</t>
  </si>
  <si>
    <t>PROMICEv3d.cr1</t>
  </si>
  <si>
    <t>202381</t>
  </si>
  <si>
    <t>pre-2022</t>
  </si>
  <si>
    <t>NUK_U-v3</t>
  </si>
  <si>
    <t>NUK_U</t>
  </si>
  <si>
    <t>T3B-0005</t>
  </si>
  <si>
    <t>213257</t>
  </si>
  <si>
    <t>2020?</t>
  </si>
  <si>
    <t>Replace PTA and wire tightner</t>
  </si>
  <si>
    <t>Mast currently titled, replace?</t>
  </si>
  <si>
    <t>Bring battery extension cable</t>
  </si>
  <si>
    <t>M4-06</t>
  </si>
  <si>
    <t>Needs 2 x 5m power extension cables</t>
  </si>
  <si>
    <t>Snow Fox Power Station</t>
  </si>
  <si>
    <t>NaN</t>
  </si>
  <si>
    <t>CR1000X.Std.07</t>
  </si>
  <si>
    <t>SnowFox_Power_Station_V1_3.CR1X</t>
  </si>
  <si>
    <t>Snowfox Wind Turbine Station</t>
  </si>
  <si>
    <t>Marlec HRDi</t>
  </si>
  <si>
    <t>Geolux Radar</t>
  </si>
  <si>
    <t>GC Net Digital</t>
  </si>
  <si>
    <t>Conisder a new mast (5 degree tilt). New lower WSD needed (works but held together with tape)</t>
  </si>
  <si>
    <t>CR1000X.Std.05.02</t>
  </si>
  <si>
    <t>Needs new battery box</t>
  </si>
  <si>
    <t xml:space="preserve">Many years of records 2008-2023 exist on ICE drive </t>
  </si>
  <si>
    <t>New lufft mount, WSD mount lower, and complete T-String</t>
  </si>
  <si>
    <t>Needs new lower lufft (mounting damage), consider new battery box (buried) or bring extension cable.</t>
  </si>
  <si>
    <t>T3B-0002</t>
  </si>
  <si>
    <t>Non-standard field modified</t>
  </si>
  <si>
    <t>PROMICEv3 Rewired 1,5</t>
  </si>
  <si>
    <t>2022</t>
  </si>
  <si>
    <t>E12351</t>
  </si>
  <si>
    <t>080164</t>
  </si>
  <si>
    <t>VRLA PROMICE</t>
  </si>
  <si>
    <t>A lufft was  due to cable issue</t>
  </si>
  <si>
    <t>T2-0002</t>
  </si>
  <si>
    <t>080202</t>
  </si>
  <si>
    <t>KPC_L</t>
  </si>
  <si>
    <t>Not Maintained</t>
  </si>
  <si>
    <t>Still in-situ</t>
  </si>
  <si>
    <t>KPC_U</t>
  </si>
  <si>
    <t>171514</t>
  </si>
  <si>
    <t>MIT</t>
  </si>
  <si>
    <t>Not Checked</t>
  </si>
  <si>
    <t>T2-0004</t>
  </si>
  <si>
    <t/>
  </si>
  <si>
    <t>PROMICE_analog</t>
  </si>
  <si>
    <t>MIT_B</t>
  </si>
  <si>
    <t>Renamed from MIT_B2</t>
  </si>
  <si>
    <t>MIT_B1</t>
  </si>
  <si>
    <t>Renamed to SER_B</t>
  </si>
  <si>
    <t>MIT_B2</t>
  </si>
  <si>
    <t>Renamed to MIT_B</t>
  </si>
  <si>
    <t>GC-Net v4 Modified</t>
  </si>
  <si>
    <t>Uses PROMICE v2 loggerbox</t>
  </si>
  <si>
    <t>M4-01</t>
  </si>
  <si>
    <t>GCNETv3_0</t>
  </si>
  <si>
    <t>Several visits that year, this is the outcome of them all</t>
  </si>
  <si>
    <t>NASA-E</t>
  </si>
  <si>
    <t>NASA-SE</t>
  </si>
  <si>
    <t>NASA-U</t>
  </si>
  <si>
    <t>GC-Net Digital</t>
  </si>
  <si>
    <t xml:space="preserve"> 6 x Yuasa VRLA 38 Ah +  4 x Yuasa VRLA 38 Ah</t>
  </si>
  <si>
    <t>M4-04</t>
  </si>
  <si>
    <t>213270</t>
  </si>
  <si>
    <t>NEEM</t>
  </si>
  <si>
    <t>SnowFox_Power_Station_V1_1.CR1X</t>
  </si>
  <si>
    <t>212888</t>
  </si>
  <si>
    <t>THU_U2-v3</t>
  </si>
  <si>
    <t>THU_U2</t>
  </si>
  <si>
    <t>T3B-09</t>
  </si>
  <si>
    <t>NUK_B</t>
  </si>
  <si>
    <t>T3B-0006</t>
  </si>
  <si>
    <t>Cables for inclinometer has been swapped at some time, C5-C6</t>
  </si>
  <si>
    <t>NUK_K</t>
  </si>
  <si>
    <t>T3B-0004</t>
  </si>
  <si>
    <t>PROMICE_digital</t>
  </si>
  <si>
    <t>New SR50s, new t-string SN 6781</t>
  </si>
  <si>
    <t>NUK_L-v2</t>
  </si>
  <si>
    <t>THU_L</t>
  </si>
  <si>
    <t>Maintainance</t>
  </si>
  <si>
    <t>202706</t>
  </si>
  <si>
    <t>PTA housing needs replacement</t>
  </si>
  <si>
    <t>NUK_U-v2</t>
  </si>
  <si>
    <t>THU_L2</t>
  </si>
  <si>
    <t>T2-0001</t>
  </si>
  <si>
    <t>E4054</t>
  </si>
  <si>
    <t>080099</t>
  </si>
  <si>
    <t xml:space="preserve">Wires needed to hang battery box. Inclinometer not working. </t>
  </si>
  <si>
    <t>CR1000X.05.01.Std</t>
  </si>
  <si>
    <t>GCNETv2_4</t>
  </si>
  <si>
    <t>PROMICE v3 Rewired 1,4</t>
  </si>
  <si>
    <t>PROMICEv3_Rewired 1,4</t>
  </si>
  <si>
    <t>Ablobender</t>
  </si>
  <si>
    <t>OS 05.02</t>
  </si>
  <si>
    <t>QAS_U-v2</t>
  </si>
  <si>
    <t>21352</t>
  </si>
  <si>
    <t>RED_L_v3</t>
  </si>
  <si>
    <t>RED</t>
  </si>
  <si>
    <t>T3B-16</t>
  </si>
  <si>
    <t>Previously known as PRI_v3</t>
  </si>
  <si>
    <t>Saddle</t>
  </si>
  <si>
    <t>UPE_L</t>
  </si>
  <si>
    <t>CR1000.Std.27.04</t>
  </si>
  <si>
    <t>PROMICE2015e.cr1</t>
  </si>
  <si>
    <t>pre-2020</t>
  </si>
  <si>
    <t>UPE_U</t>
  </si>
  <si>
    <t>CR1000X.Std.04.02</t>
  </si>
  <si>
    <t>213148</t>
  </si>
  <si>
    <t>Looks like they reused the batterybox, but unsure</t>
  </si>
  <si>
    <t>GC-Net Digitial</t>
  </si>
  <si>
    <t>Top-up battery box installed</t>
  </si>
  <si>
    <t>M3-0004</t>
  </si>
  <si>
    <t>CR1000X.Std.06.00</t>
  </si>
  <si>
    <t>080024</t>
  </si>
  <si>
    <t xml:space="preserve">Two batteryboxes on site, maybe old and new combined </t>
  </si>
  <si>
    <t>M3-0005</t>
  </si>
  <si>
    <t>M3-0002</t>
  </si>
  <si>
    <t>SER_B</t>
  </si>
  <si>
    <t>Renamed from MIT_B1</t>
  </si>
  <si>
    <t>SouthDome</t>
  </si>
  <si>
    <t>E4983</t>
  </si>
  <si>
    <t>080163</t>
  </si>
  <si>
    <t>Wires needed to hang battery box. 15m SR50 cable needed. New CF card needed.</t>
  </si>
  <si>
    <t>GCNETv2_3</t>
  </si>
  <si>
    <t>PROMICEv3e</t>
  </si>
  <si>
    <t>SWC_v3</t>
  </si>
  <si>
    <t>SWC</t>
  </si>
  <si>
    <t>202382</t>
  </si>
  <si>
    <t>TAS_A-SF</t>
  </si>
  <si>
    <t>Wind Turbine</t>
  </si>
  <si>
    <t>TAS_A-v2</t>
  </si>
  <si>
    <t>PROMICE v3 Rewired 1,1</t>
  </si>
  <si>
    <t>PROMICEv3_Rewired 1,2</t>
  </si>
  <si>
    <t>Beta rewire</t>
  </si>
  <si>
    <t>Station is older, see ice drive for older records</t>
  </si>
  <si>
    <t>PROMICEv3_Rewired_1_1</t>
  </si>
  <si>
    <t>GC-Net v1</t>
  </si>
  <si>
    <t>GCNETv1</t>
  </si>
  <si>
    <t>GC-Net Analogue</t>
  </si>
  <si>
    <t>GCNET</t>
  </si>
  <si>
    <t>GCNETv2</t>
  </si>
  <si>
    <t>213155</t>
  </si>
  <si>
    <t>GCNETv2.CR1X</t>
  </si>
  <si>
    <t>THU_U</t>
  </si>
  <si>
    <t>KPC_L-v3</t>
  </si>
  <si>
    <t>alpha</t>
  </si>
  <si>
    <t>223318</t>
  </si>
  <si>
    <t>KPC_U-v3</t>
  </si>
  <si>
    <t>171515</t>
  </si>
  <si>
    <t>Tunu-N</t>
  </si>
  <si>
    <t>Replaced Interface Box 1</t>
  </si>
  <si>
    <t>Freya2015.CR1</t>
  </si>
  <si>
    <t>PROMICEv3_Beta_1_0</t>
  </si>
  <si>
    <t>Inclinometer not returning values - replace. Rotronic fan not spinning. Issue with interface box 1.</t>
  </si>
  <si>
    <t>212894</t>
  </si>
  <si>
    <t>VAI1</t>
  </si>
  <si>
    <t>Thawing Mountains</t>
  </si>
  <si>
    <t>WEG_B</t>
  </si>
  <si>
    <t>Wegner</t>
  </si>
  <si>
    <t>WEG_L</t>
  </si>
  <si>
    <t>T3B-0001</t>
  </si>
  <si>
    <t>140439</t>
  </si>
  <si>
    <t>Records back to 2016, but restablished in 2021</t>
  </si>
  <si>
    <t>212887</t>
  </si>
  <si>
    <t>080161</t>
  </si>
  <si>
    <t>PROMICE VRLA</t>
  </si>
  <si>
    <t>CSI-1001-03_Main.CR1
CSI-1002-03_Include.CR1</t>
  </si>
  <si>
    <t>Unknown number of 28Ah, maybe 6 is present. Date is a placeholder for sorting.</t>
  </si>
  <si>
    <t>More records on ice drive</t>
  </si>
  <si>
    <t>Historic Tripod</t>
  </si>
  <si>
    <t>2009-2023 data on ice drive</t>
  </si>
  <si>
    <t>Note data from 2008 to 2023 on ice drive if needed</t>
  </si>
  <si>
    <t xml:space="preserve">  </t>
  </si>
  <si>
    <t>Serial</t>
  </si>
  <si>
    <t>Record Date</t>
  </si>
  <si>
    <t>Type</t>
  </si>
  <si>
    <t>Status</t>
  </si>
  <si>
    <t>Location</t>
  </si>
  <si>
    <t>Cal Year</t>
  </si>
  <si>
    <t>dsr_eng_coef - SW_In (Pyran Upper)</t>
  </si>
  <si>
    <t>usr_eng_coef - SW_Out (Pyran Lower)</t>
  </si>
  <si>
    <t>dlr_eng_coef - LW_In (Pyrge Upper)</t>
  </si>
  <si>
    <t>ulr_eng_coef - LW_Out (Pyrge Lower)</t>
  </si>
  <si>
    <t>Scheduled Replacement</t>
  </si>
  <si>
    <t>5024</t>
  </si>
  <si>
    <t>NR01</t>
  </si>
  <si>
    <t>A-Station</t>
  </si>
  <si>
    <t>GEUS (Roof)</t>
  </si>
  <si>
    <t>010343</t>
  </si>
  <si>
    <t>ORO</t>
  </si>
  <si>
    <t>Århus station at Ole Rømer Observatory</t>
  </si>
  <si>
    <t>071364</t>
  </si>
  <si>
    <t>UWN</t>
  </si>
  <si>
    <t>071365</t>
  </si>
  <si>
    <t>Z-Unknown Location</t>
  </si>
  <si>
    <t>GEUS??? (NOT in GL)</t>
  </si>
  <si>
    <t>Possibly located in deep basement</t>
  </si>
  <si>
    <t>071564</t>
  </si>
  <si>
    <t>C-Ready for Use</t>
  </si>
  <si>
    <t>GEUS (GL)</t>
  </si>
  <si>
    <t>080025</t>
  </si>
  <si>
    <t>Y-Unconfirmed Location</t>
  </si>
  <si>
    <t>080069</t>
  </si>
  <si>
    <t>080101</t>
  </si>
  <si>
    <t>080157</t>
  </si>
  <si>
    <t>ZAC_T???</t>
  </si>
  <si>
    <t>X-Calibration Required</t>
  </si>
  <si>
    <t>080165</t>
  </si>
  <si>
    <t>080203</t>
  </si>
  <si>
    <t>080303</t>
  </si>
  <si>
    <t>080612</t>
  </si>
  <si>
    <t>090114</t>
  </si>
  <si>
    <t>UPE_Uv3</t>
  </si>
  <si>
    <t>100150</t>
  </si>
  <si>
    <t>Zackenburg???</t>
  </si>
  <si>
    <t>100428</t>
  </si>
  <si>
    <t>110561</t>
  </si>
  <si>
    <t>D-Returned Home</t>
  </si>
  <si>
    <t>Shipped GC-Net Nth</t>
  </si>
  <si>
    <t>110562</t>
  </si>
  <si>
    <t>110722</t>
  </si>
  <si>
    <t>Missing</t>
  </si>
  <si>
    <t>Last seen QAS_U in 2024</t>
  </si>
  <si>
    <t>Shipped GC-Net Sth</t>
  </si>
  <si>
    <t>120773</t>
  </si>
  <si>
    <t>Last seen ZAK_U in 2018</t>
  </si>
  <si>
    <t>131306</t>
  </si>
  <si>
    <t>131307</t>
  </si>
  <si>
    <t>Zackenberg (SHL)</t>
  </si>
  <si>
    <t>131455</t>
  </si>
  <si>
    <t>150711</t>
  </si>
  <si>
    <t>171267</t>
  </si>
  <si>
    <t>171315</t>
  </si>
  <si>
    <t>SWC_O-v3</t>
  </si>
  <si>
    <t>JR1_O-v3</t>
  </si>
  <si>
    <t>was installed in 2022</t>
  </si>
  <si>
    <t>171516</t>
  </si>
  <si>
    <t>171517</t>
  </si>
  <si>
    <t>181891</t>
  </si>
  <si>
    <t>182012</t>
  </si>
  <si>
    <t>RED_L-v3</t>
  </si>
  <si>
    <t>Rainer Prinz - not owned by GEUS</t>
  </si>
  <si>
    <t>B-To be installed</t>
  </si>
  <si>
    <t>Shipped SCO (SCO_L)</t>
  </si>
  <si>
    <t>202702</t>
  </si>
  <si>
    <t>202703</t>
  </si>
  <si>
    <t>202704</t>
  </si>
  <si>
    <t>212886</t>
  </si>
  <si>
    <t>212889</t>
  </si>
  <si>
    <t>ZAK_L-v3</t>
  </si>
  <si>
    <t>212892</t>
  </si>
  <si>
    <t>212893</t>
  </si>
  <si>
    <t>Shipped THU</t>
  </si>
  <si>
    <t>Shipped to Sermeliq?</t>
  </si>
  <si>
    <t>212895</t>
  </si>
  <si>
    <t>KAN_Lv3</t>
  </si>
  <si>
    <t>213154</t>
  </si>
  <si>
    <t>UPE_Lv3</t>
  </si>
  <si>
    <t>213251</t>
  </si>
  <si>
    <t>KPC_Lv3</t>
  </si>
  <si>
    <t>213252</t>
  </si>
  <si>
    <t>213256</t>
  </si>
  <si>
    <t>KPC_Uv3</t>
  </si>
  <si>
    <t>213288</t>
  </si>
  <si>
    <t>233746</t>
  </si>
  <si>
    <t>233748</t>
  </si>
  <si>
    <t>244326</t>
  </si>
  <si>
    <t>244328</t>
  </si>
  <si>
    <t>300019</t>
  </si>
  <si>
    <t>Sensor Serial</t>
  </si>
  <si>
    <t>PTA-Type</t>
  </si>
  <si>
    <t>Cal Tryk</t>
  </si>
  <si>
    <t>Cal Temp</t>
  </si>
  <si>
    <t>Vandstand/Tryk</t>
  </si>
  <si>
    <t>Slope</t>
  </si>
  <si>
    <t>RSQ</t>
  </si>
  <si>
    <t>50302/26</t>
  </si>
  <si>
    <t>50303/26</t>
  </si>
  <si>
    <t>GEUS</t>
  </si>
  <si>
    <t>50304/26</t>
  </si>
  <si>
    <t>50305/26</t>
  </si>
  <si>
    <t>NUK_Uv3</t>
  </si>
  <si>
    <t>50306/26</t>
  </si>
  <si>
    <t>50307/26</t>
  </si>
  <si>
    <t>50308/26</t>
  </si>
  <si>
    <t>50309/26</t>
  </si>
  <si>
    <t>50310/26</t>
  </si>
  <si>
    <t>50311/26</t>
  </si>
  <si>
    <t>50312/26</t>
  </si>
  <si>
    <t>50313/26</t>
  </si>
  <si>
    <t>50314/26</t>
  </si>
  <si>
    <t>50315/26</t>
  </si>
  <si>
    <t>50316/26</t>
  </si>
  <si>
    <t>50305/25</t>
  </si>
  <si>
    <t>SW_In (Pyran Upper)</t>
  </si>
  <si>
    <t>SW_Out (Pyran Lower)</t>
  </si>
  <si>
    <t>LW_In (Pyrge Upper)</t>
  </si>
  <si>
    <t>LW_Out (Pyrge Lower)</t>
  </si>
  <si>
    <t>KAN_L-V3</t>
  </si>
  <si>
    <t>Rainer Prinz</t>
  </si>
  <si>
    <t>Shipped KPC</t>
  </si>
  <si>
    <t>Z-Unknown</t>
  </si>
  <si>
    <t>Last seen GEUS 2024</t>
  </si>
  <si>
    <t>TAS_Av3</t>
  </si>
  <si>
    <t>W-Sent for Calibration</t>
  </si>
  <si>
    <t>Blichfeld</t>
  </si>
  <si>
    <t>E9052</t>
  </si>
  <si>
    <t>PTA-26</t>
  </si>
  <si>
    <t>Battery box refurb in 2026, still has 2021 batteries</t>
  </si>
  <si>
    <t>Battery box refurb in 2026, still has 2022 batteries</t>
  </si>
  <si>
    <t>Needs new iridium antenna and antenna cable. Modem is unplugged to save power. Should be plugged back in when antenna is installed. Missing battery cable hangers. Damage to plug so to enclousre is open to the environment. Inclinometer cable broken (replace).</t>
  </si>
  <si>
    <t>Site is not really in the ablation area. Station nearly totally buried.</t>
  </si>
  <si>
    <t>THU_U-v3</t>
  </si>
  <si>
    <t xml:space="preserve">Damage to antenna cable entry port on the loggerbox. This should be replaced. The stake SR50 cable is damaged and was disconnected - replace. Requires new CF stake assembly. </t>
  </si>
  <si>
    <t>NUK-K Asiaq</t>
  </si>
  <si>
    <t>NUK Revist</t>
  </si>
  <si>
    <t>T3B-18</t>
  </si>
  <si>
    <t>PROMICEv3_REWIRED_1_0_1 schematic</t>
  </si>
  <si>
    <t>Return KPC</t>
  </si>
  <si>
    <t>Return GCN-Sth</t>
  </si>
  <si>
    <t>Station tipped over between 06-2025 and 06-2026</t>
  </si>
  <si>
    <t>PTA needs replacing. T-String needs replacing. Luuft mount cracked - replace. Radiometer damaged - replace. Boom bent - replace. Possible logger issue - repalce loggerbox.</t>
  </si>
  <si>
    <t>NUK-U-v3</t>
  </si>
  <si>
    <t xml:space="preserve">Whilst installed in 2026, the lufft was calibrated in 2022 - replace. Due WSD and radiometer next visit. </t>
  </si>
  <si>
    <t>UPE_L-v3</t>
  </si>
  <si>
    <t>T3B-23</t>
  </si>
  <si>
    <t>CR1000X.8.5.1</t>
  </si>
  <si>
    <t>PROMICE_V2_2022_V1_0</t>
  </si>
  <si>
    <t>UPE_U-v3</t>
  </si>
  <si>
    <t>T3B-24</t>
  </si>
  <si>
    <t>PTA and T-String are only 6m deep. Minimum send new T-string.</t>
  </si>
  <si>
    <t>Shipped from KAN</t>
  </si>
  <si>
    <t>Return GCN-Nth</t>
  </si>
  <si>
    <t>New T-String</t>
  </si>
  <si>
    <t>SCO</t>
  </si>
  <si>
    <t>DWIAT</t>
  </si>
  <si>
    <t>New boom + WSD mount is needed if WSD is replaced (fused)</t>
  </si>
  <si>
    <t>Return QAS</t>
  </si>
  <si>
    <t xml:space="preserve">WSD Direction not wokring in fast scan - repalce. Repalce PTA. Logger has some corrosion on USB Port - replace loggerbox. </t>
  </si>
  <si>
    <t>PTA leaking - replace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</si>
</sst>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0"/>
    <numFmt numFmtId="166" formatCode="0.00000"/>
  </numFmts>
  <fonts count="13" x14ac:knownFonts="1">
    <font>
      <sz val="11"/>
      <color theme="1"/>
      <name val="Aptos Narrow"/>
      <family val="2"/>
      <scheme val="minor"/>
    </font>
    <font>
      <sz val="8"/>
      <name val="Aptos Narrow"/>
      <family val="2"/>
      <scheme val="minor"/>
    </font>
    <font>
      <b/>
      <sz val="11"/>
      <color theme="1"/>
      <name val="Aptos Narrow"/>
      <family val="2"/>
      <scheme val="minor"/>
    </font>
    <font>
      <b/>
      <sz val="10"/>
      <name val="Arial"/>
      <family val="2"/>
      <charset val="1"/>
    </font>
    <font>
      <sz val="11"/>
      <color rgb="FF00B050"/>
      <name val="Calibri"/>
      <family val="2"/>
      <charset val="1"/>
    </font>
    <font>
      <sz val="11"/>
      <color rgb="FFFF0000"/>
      <name val="Calibri"/>
      <family val="2"/>
      <charset val="1"/>
    </font>
    <font>
      <sz val="11"/>
      <name val="Calibri"/>
      <family val="2"/>
      <charset val="1"/>
    </font>
    <font>
      <sz val="11"/>
      <color theme="1"/>
      <name val="Calibri"/>
      <family val="2"/>
      <charset val="1"/>
    </font>
    <font>
      <b/>
      <u/>
      <sz val="11"/>
      <color theme="1"/>
      <name val="Aptos Narrow"/>
      <family val="2"/>
      <scheme val="minor"/>
    </font>
    <font>
      <b/>
      <sz val="11"/>
      <color rgb="FFFF0000"/>
      <name val="Aptos Narrow"/>
      <family val="2"/>
      <scheme val="minor"/>
    </font>
    <font>
      <b/>
      <sz val="11"/>
      <color theme="1"/>
      <name val="Aptos Narrow"/>
      <scheme val="minor"/>
    </font>
    <font>
      <b/>
      <sz val="14"/>
      <color theme="0"/>
      <name val="Aptos Narrow"/>
      <scheme val="minor"/>
    </font>
    <font>
      <sz val="11"/>
      <color rgb="FFFF0000"/>
      <name val="Aptos Narrow"/>
      <family val="2"/>
      <scheme val="minor"/>
    </font>
  </fonts>
  <fills count="5">
    <fill>
      <patternFill patternType="none"/>
    </fill>
    <fill>
      <patternFill patternType="gray125"/>
    </fill>
    <fill>
      <patternFill patternType="solid">
        <fgColor theme="1"/>
        <bgColor indexed="64"/>
      </patternFill>
    </fill>
    <fill>
      <patternFill patternType="solid">
        <fgColor theme="0" tint="-0.249977111117893"/>
        <bgColor indexed="64"/>
      </patternFill>
    </fill>
    <fill>
      <patternFill patternType="solid">
        <fgColor rgb="FFFFFF00"/>
        <bgColor indexed="64"/>
      </patternFill>
    </fill>
  </fills>
  <borders count="4">
    <border>
      <left/>
      <right/>
      <top/>
      <bottom/>
      <diagonal/>
    </border>
    <border>
      <left style="medium">
        <color indexed="64"/>
      </left>
      <right/>
      <top/>
      <bottom/>
      <diagonal/>
    </border>
    <border>
      <left style="thick">
        <color theme="0"/>
      </left>
      <right/>
      <top/>
      <bottom/>
      <diagonal/>
    </border>
    <border>
      <left/>
      <right style="thick">
        <color theme="0"/>
      </right>
      <top/>
      <bottom/>
      <diagonal/>
    </border>
  </borders>
  <cellStyleXfs count="1">
    <xf numFmtId="0" fontId="0" fillId="0" borderId="0"/>
  </cellStyleXfs>
  <cellXfs count="52">
    <xf numFmtId="0" fontId="0" fillId="0" borderId="0" xfId="0"/>
    <xf numFmtId="1" fontId="0" fillId="0" borderId="0" xfId="0" applyNumberFormat="1"/>
    <xf numFmtId="1" fontId="0" fillId="0" borderId="0" xfId="0" applyNumberFormat="1" applyAlignment="1">
      <alignment horizontal="right"/>
    </xf>
    <xf numFmtId="1" fontId="0" fillId="0" borderId="0" xfId="0" applyNumberFormat="1" applyAlignment="1">
      <alignment horizontal="center"/>
    </xf>
    <xf numFmtId="14" fontId="0" fillId="0" borderId="0" xfId="0" applyNumberFormat="1"/>
    <xf numFmtId="164" fontId="0" fillId="0" borderId="0" xfId="0" applyNumberFormat="1"/>
    <xf numFmtId="49" fontId="0" fillId="0" borderId="0" xfId="0" applyNumberFormat="1" applyAlignment="1">
      <alignment horizontal="right"/>
    </xf>
    <xf numFmtId="0" fontId="0" fillId="0" borderId="0" xfId="0" applyAlignment="1">
      <alignment horizontal="right"/>
    </xf>
    <xf numFmtId="0" fontId="0" fillId="0" borderId="0" xfId="0" applyAlignment="1">
      <alignment horizontal="left"/>
    </xf>
    <xf numFmtId="2" fontId="0" fillId="0" borderId="0" xfId="0" applyNumberFormat="1"/>
    <xf numFmtId="0" fontId="2" fillId="0" borderId="0" xfId="0" applyFont="1"/>
    <xf numFmtId="2" fontId="2" fillId="0" borderId="0" xfId="0" applyNumberFormat="1" applyFont="1"/>
    <xf numFmtId="165" fontId="0" fillId="0" borderId="0" xfId="0" applyNumberFormat="1"/>
    <xf numFmtId="2" fontId="2" fillId="0" borderId="0" xfId="0" applyNumberFormat="1" applyFont="1" applyAlignment="1">
      <alignment vertical="center"/>
    </xf>
    <xf numFmtId="49" fontId="0" fillId="0" borderId="0" xfId="0" applyNumberFormat="1"/>
    <xf numFmtId="49" fontId="4" fillId="0" borderId="0" xfId="0" applyNumberFormat="1" applyFont="1"/>
    <xf numFmtId="164" fontId="2" fillId="0" borderId="0" xfId="0" applyNumberFormat="1" applyFont="1"/>
    <xf numFmtId="49" fontId="3" fillId="0" borderId="0" xfId="0" applyNumberFormat="1" applyFont="1"/>
    <xf numFmtId="0" fontId="3" fillId="0" borderId="0" xfId="0" applyFont="1"/>
    <xf numFmtId="49" fontId="5" fillId="0" borderId="0" xfId="0" applyNumberFormat="1" applyFont="1"/>
    <xf numFmtId="49" fontId="6" fillId="0" borderId="0" xfId="0" applyNumberFormat="1" applyFont="1"/>
    <xf numFmtId="0" fontId="5" fillId="0" borderId="0" xfId="0" applyFont="1"/>
    <xf numFmtId="2" fontId="5" fillId="0" borderId="0" xfId="0" applyNumberFormat="1" applyFont="1"/>
    <xf numFmtId="0" fontId="7" fillId="0" borderId="0" xfId="0" applyFont="1"/>
    <xf numFmtId="49" fontId="7" fillId="0" borderId="0" xfId="0" applyNumberFormat="1" applyFont="1"/>
    <xf numFmtId="2" fontId="7" fillId="0" borderId="0" xfId="0" applyNumberFormat="1" applyFont="1"/>
    <xf numFmtId="49" fontId="0" fillId="0" borderId="1" xfId="0" applyNumberFormat="1" applyBorder="1"/>
    <xf numFmtId="49" fontId="2" fillId="0" borderId="0" xfId="0" applyNumberFormat="1" applyFont="1"/>
    <xf numFmtId="0" fontId="8" fillId="0" borderId="0" xfId="0" applyFont="1"/>
    <xf numFmtId="1" fontId="2" fillId="0" borderId="0" xfId="0" applyNumberFormat="1" applyFont="1"/>
    <xf numFmtId="1" fontId="9" fillId="0" borderId="0" xfId="0" applyNumberFormat="1" applyFont="1" applyAlignment="1">
      <alignment horizontal="center"/>
    </xf>
    <xf numFmtId="166" fontId="0" fillId="0" borderId="0" xfId="0" applyNumberFormat="1"/>
    <xf numFmtId="0" fontId="10" fillId="0" borderId="0" xfId="0" applyFont="1"/>
    <xf numFmtId="0" fontId="2" fillId="3" borderId="0" xfId="0" applyFont="1" applyFill="1" applyAlignment="1">
      <alignment horizontal="left"/>
    </xf>
    <xf numFmtId="1" fontId="2" fillId="3" borderId="0" xfId="0" applyNumberFormat="1" applyFont="1" applyFill="1" applyAlignment="1">
      <alignment horizontal="left"/>
    </xf>
    <xf numFmtId="49" fontId="2" fillId="3" borderId="0" xfId="0" applyNumberFormat="1" applyFont="1" applyFill="1" applyAlignment="1">
      <alignment horizontal="left"/>
    </xf>
    <xf numFmtId="0" fontId="11" fillId="2" borderId="0" xfId="0" applyFont="1" applyFill="1" applyAlignment="1">
      <alignment horizontal="left"/>
    </xf>
    <xf numFmtId="0" fontId="11" fillId="2" borderId="2" xfId="0" applyFont="1" applyFill="1" applyBorder="1" applyAlignment="1">
      <alignment horizontal="center"/>
    </xf>
    <xf numFmtId="0" fontId="11" fillId="2" borderId="0" xfId="0" applyFont="1" applyFill="1" applyAlignment="1">
      <alignment horizontal="center"/>
    </xf>
    <xf numFmtId="0" fontId="11" fillId="2" borderId="3" xfId="0" applyFont="1" applyFill="1" applyBorder="1" applyAlignment="1">
      <alignment horizontal="center"/>
    </xf>
    <xf numFmtId="1" fontId="11" fillId="2" borderId="2" xfId="0" applyNumberFormat="1" applyFont="1" applyFill="1" applyBorder="1" applyAlignment="1">
      <alignment horizontal="center"/>
    </xf>
    <xf numFmtId="1" fontId="11" fillId="2" borderId="0" xfId="0" applyNumberFormat="1" applyFont="1" applyFill="1" applyAlignment="1">
      <alignment horizontal="center"/>
    </xf>
    <xf numFmtId="1" fontId="11" fillId="2" borderId="3" xfId="0" applyNumberFormat="1" applyFont="1" applyFill="1" applyBorder="1" applyAlignment="1">
      <alignment horizontal="center"/>
    </xf>
    <xf numFmtId="165" fontId="2" fillId="0" borderId="0" xfId="0" applyNumberFormat="1" applyFont="1" applyAlignment="1">
      <alignment horizontal="center" vertical="center"/>
    </xf>
    <xf numFmtId="0" fontId="2" fillId="0" borderId="0" xfId="0" applyFont="1" applyAlignment="1">
      <alignment horizontal="center" vertical="center"/>
    </xf>
    <xf numFmtId="2" fontId="2" fillId="0" borderId="0" xfId="0" applyNumberFormat="1" applyFont="1" applyAlignment="1">
      <alignment horizontal="center" vertical="center"/>
    </xf>
    <xf numFmtId="16" fontId="0" fillId="0" borderId="0" xfId="0" applyNumberFormat="1"/>
    <xf numFmtId="1" fontId="0" fillId="4" borderId="0" xfId="0" applyNumberFormat="1" applyFill="1" applyAlignment="1">
      <alignment horizontal="right"/>
    </xf>
    <xf numFmtId="1" fontId="0" fillId="0" borderId="0" xfId="0" applyNumberFormat="1" applyFill="1" applyAlignment="1">
      <alignment horizontal="right"/>
    </xf>
    <xf numFmtId="164" fontId="2" fillId="0" borderId="0" xfId="0" applyNumberFormat="1" applyFont="1" applyAlignment="1">
      <alignment horizontal="center" vertical="center"/>
    </xf>
    <xf numFmtId="49" fontId="0" fillId="0" borderId="0" xfId="0" applyNumberFormat="1" applyBorder="1"/>
    <xf numFmtId="0" fontId="12" fillId="0" borderId="0" xfId="0" applyFont="1"/>
  </cellXfs>
  <cellStyles count="1">
    <cellStyle name="Normal" xfId="0" builtinId="0"/>
  </cellStyles>
  <dxfs count="1">
    <dxf>
      <fill>
        <patternFill>
          <bgColor rgb="FFEAF0E6"/>
        </patternFill>
      </fill>
    </dxf>
  </dxfs>
  <tableStyles count="0" defaultTableStyle="TableStyleMedium2" defaultPivotStyle="PivotStyleLight16"/>
  <colors>
    <mruColors>
      <color rgb="FFEAF0E6"/>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247650</xdr:colOff>
      <xdr:row>0</xdr:row>
      <xdr:rowOff>95250</xdr:rowOff>
    </xdr:from>
    <xdr:to>
      <xdr:col>8</xdr:col>
      <xdr:colOff>133350</xdr:colOff>
      <xdr:row>20</xdr:row>
      <xdr:rowOff>50800</xdr:rowOff>
    </xdr:to>
    <xdr:sp macro="" textlink="">
      <xdr:nvSpPr>
        <xdr:cNvPr id="2" name="TextBox 1">
          <a:extLst>
            <a:ext uri="{FF2B5EF4-FFF2-40B4-BE49-F238E27FC236}">
              <a16:creationId xmlns:a16="http://schemas.microsoft.com/office/drawing/2014/main" id="{16193536-FB6B-AC0E-BE63-7DB2456D9661}"/>
            </a:ext>
          </a:extLst>
        </xdr:cNvPr>
        <xdr:cNvSpPr txBox="1"/>
      </xdr:nvSpPr>
      <xdr:spPr>
        <a:xfrm>
          <a:off x="247650" y="95250"/>
          <a:ext cx="5168900" cy="3765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u="sng" kern="1200"/>
            <a:t>Radiometers</a:t>
          </a:r>
        </a:p>
        <a:p>
          <a:r>
            <a:rPr lang="en-GB" sz="1100" b="0" u="none" kern="1200"/>
            <a:t>This is a working document and should be updated as such (ie every time a radiometer</a:t>
          </a:r>
          <a:r>
            <a:rPr lang="en-GB" sz="1100" b="0" u="none" kern="1200" baseline="0"/>
            <a:t> moves). A historical tab should be created at the cessation of each field season, including only the radiometers installed on stations.</a:t>
          </a:r>
        </a:p>
        <a:p>
          <a:endParaRPr lang="en-GB" sz="1100" b="0" u="none" kern="1200" baseline="0"/>
        </a:p>
        <a:p>
          <a:r>
            <a:rPr lang="en-GB" sz="1100" b="0" u="sng" kern="1200" baseline="0"/>
            <a:t>Record date: </a:t>
          </a:r>
          <a:r>
            <a:rPr lang="en-GB" sz="1100" b="0" u="none" kern="1200" baseline="0"/>
            <a:t>don't forget this, update it when anything changes (including a record of a location of a radiometer on a maintaince sheet, even if nothing has changed - it should reflect the most recent knowledge!)</a:t>
          </a:r>
        </a:p>
        <a:p>
          <a:endParaRPr lang="en-GB" sz="1100" b="0" u="none" kern="1200" baseline="0"/>
        </a:p>
        <a:p>
          <a:r>
            <a:rPr lang="en-GB" sz="1100" b="0" u="sng" kern="1200" baseline="0"/>
            <a:t>Status: </a:t>
          </a:r>
          <a:r>
            <a:rPr lang="en-GB" sz="1100" b="0" u="none" kern="1200" baseline="0"/>
            <a:t>choose from the below. Prefixes are for sorting purposes only.</a:t>
          </a:r>
        </a:p>
        <a:p>
          <a:r>
            <a:rPr lang="en-GB" sz="1100" b="0" u="none" kern="1200" baseline="0"/>
            <a:t>   A-Station: installed on a station</a:t>
          </a:r>
        </a:p>
        <a:p>
          <a:r>
            <a:rPr lang="en-GB" sz="1100" b="0" u="none" kern="1200" baseline="0"/>
            <a:t>   B-To be installed: shipped to the field</a:t>
          </a:r>
        </a:p>
        <a:p>
          <a:r>
            <a:rPr lang="en-GB" sz="1100" b="0" u="none" kern="1200" baseline="0"/>
            <a:t>   C-Ready for use: in Glaciolab and ready</a:t>
          </a:r>
        </a:p>
        <a:p>
          <a:r>
            <a:rPr lang="en-GB" sz="1100" b="0" u="none" kern="1200" baseline="0"/>
            <a:t>   D-Returned home: removed from a station and shipped back to GEUS</a:t>
          </a:r>
        </a:p>
        <a:p>
          <a:r>
            <a:rPr lang="en-GB" sz="1100" b="0" u="none" kern="1200" baseline="0"/>
            <a:t>   W-Sent for calibration</a:t>
          </a:r>
        </a:p>
        <a:p>
          <a:r>
            <a:rPr lang="en-GB" sz="1100" b="0" u="none" kern="1200" baseline="0"/>
            <a:t>   X-Calibration required: in Glaciolab but needing a new calibration</a:t>
          </a:r>
        </a:p>
        <a:p>
          <a:r>
            <a:rPr lang="en-GB" sz="1100" b="0" u="none" kern="1200" baseline="0"/>
            <a:t>   Y-Unconfirmed: location from old spreadsheet, not checked but makes sense</a:t>
          </a:r>
        </a:p>
        <a:p>
          <a:r>
            <a:rPr lang="en-GB" sz="1100" b="0" u="none" kern="1200" baseline="0"/>
            <a:t>   Z-Unknown: no idea WTF these are</a:t>
          </a:r>
        </a:p>
        <a:p>
          <a:endParaRPr lang="en-GB" sz="1100" b="0" u="none" kern="1200" baseline="0"/>
        </a:p>
        <a:p>
          <a:r>
            <a:rPr lang="en-GB" sz="1100" b="0" u="sng" kern="1200" baseline="0"/>
            <a:t>Scheduled replacement: </a:t>
          </a:r>
          <a:r>
            <a:rPr lang="en-GB" sz="1100" b="0" u="none" kern="1200" baseline="0"/>
            <a:t>cal year + 3. Flagged with ! if the current year or previous (note these fields are dynamic)</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414618</xdr:colOff>
      <xdr:row>0</xdr:row>
      <xdr:rowOff>89646</xdr:rowOff>
    </xdr:from>
    <xdr:to>
      <xdr:col>6</xdr:col>
      <xdr:colOff>1893795</xdr:colOff>
      <xdr:row>3</xdr:row>
      <xdr:rowOff>123265</xdr:rowOff>
    </xdr:to>
    <xdr:sp macro="" textlink="">
      <xdr:nvSpPr>
        <xdr:cNvPr id="2" name="TextBox 1">
          <a:extLst>
            <a:ext uri="{FF2B5EF4-FFF2-40B4-BE49-F238E27FC236}">
              <a16:creationId xmlns:a16="http://schemas.microsoft.com/office/drawing/2014/main" id="{9B2FF270-B629-6757-F206-B9C55EB541B4}"/>
            </a:ext>
          </a:extLst>
        </xdr:cNvPr>
        <xdr:cNvSpPr txBox="1"/>
      </xdr:nvSpPr>
      <xdr:spPr>
        <a:xfrm>
          <a:off x="414618" y="89646"/>
          <a:ext cx="8415618" cy="605119"/>
        </a:xfrm>
        <a:prstGeom prst="rect">
          <a:avLst/>
        </a:prstGeom>
        <a:solidFill>
          <a:schemeClr val="lt1"/>
        </a:solidFill>
        <a:ln w="57150"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600" b="1" kern="1200"/>
            <a:t>This is the status of</a:t>
          </a:r>
          <a:r>
            <a:rPr lang="en-GB" sz="1600" b="1" kern="1200" baseline="0"/>
            <a:t> all radiometers prior to the 2026 field seaoson (last updated 2026-04-07).</a:t>
          </a:r>
        </a:p>
        <a:p>
          <a:pPr algn="l"/>
          <a:r>
            <a:rPr lang="en-GB" sz="1600" b="1" kern="1200" baseline="0"/>
            <a:t>The sheet is locked for editing (no password). Please do not change it!</a:t>
          </a:r>
          <a:endParaRPr lang="en-GB" sz="1600" b="1" kern="12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geus-my.sharepoint.com/personal/iaste_geus_dk/Documents/GlacioLab/GlacioLab_24_25.xlsx" TargetMode="External"/><Relationship Id="rId1" Type="http://schemas.openxmlformats.org/officeDocument/2006/relationships/externalLinkPath" Target="GlacioLab_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pment_needed"/>
      <sheetName val="Task_list"/>
      <sheetName val="Equip Overview PROMICE 25"/>
      <sheetName val="Order_list"/>
      <sheetName val="Station_summary_24_25"/>
      <sheetName val="Laptop List"/>
      <sheetName val="Supplier_list"/>
      <sheetName val="Parts_list"/>
      <sheetName val="Logger_info"/>
      <sheetName val="Station_list"/>
      <sheetName val="Lookups"/>
      <sheetName val="Equipment_list"/>
      <sheetName val="Inventory_GL_2023"/>
      <sheetName val="Equipment_needed 2025_old_zak"/>
      <sheetName val="Equipment_needed_TBDeleted"/>
      <sheetName val="OldReadOnly_Stat_metadata_24_25"/>
      <sheetName val="Time"/>
    </sheetNames>
    <sheetDataSet>
      <sheetData sheetId="0"/>
      <sheetData sheetId="1"/>
      <sheetData sheetId="2"/>
      <sheetData sheetId="3"/>
      <sheetData sheetId="4"/>
      <sheetData sheetId="5"/>
      <sheetData sheetId="6"/>
      <sheetData sheetId="7"/>
      <sheetData sheetId="8"/>
      <sheetData sheetId="9"/>
      <sheetData sheetId="10">
        <row r="2">
          <cell r="M2" t="str">
            <v>Finapp</v>
          </cell>
        </row>
        <row r="3">
          <cell r="M3" t="str">
            <v>Geonor</v>
          </cell>
        </row>
        <row r="4">
          <cell r="M4" t="str">
            <v>Hobo</v>
          </cell>
        </row>
        <row r="5">
          <cell r="M5" t="str">
            <v>Lufft_401</v>
          </cell>
        </row>
        <row r="6">
          <cell r="M6" t="str">
            <v>Lufft_600</v>
          </cell>
        </row>
        <row r="7">
          <cell r="M7" t="str">
            <v>Pluvio</v>
          </cell>
        </row>
        <row r="8">
          <cell r="M8" t="str">
            <v>Snowfox</v>
          </cell>
        </row>
      </sheetData>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Ian Stevens" id="{F2B4E800-65AD-F243-8CC9-7CBADA1D0AE7}" userId="S::iaste@geus.dk::959e8869-70b1-4be8-be25-df49ae78a9ef" providerId="AD"/>
  <person displayName="Mads Christian Lund" id="{0019E6CE-3F91-0D4D-89A3-208826057B3B}" userId="S::maclu@geus.dk::67561458-fa57-4eae-913d-3376777f4a0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7" dT="2026-08-15T20:37:45.76" personId="{0019E6CE-3F91-0D4D-89A3-208826057B3B}" id="{A5EE39D0-FED6-DA41-9C62-52EE9D502E90}">
    <text>It was incorrectly registered as HUM. This has to be corrected.</text>
  </threadedComment>
  <threadedComment ref="E27" dT="2026-09-16T10:06:58.79" personId="{F2B4E800-65AD-F243-8CC9-7CBADA1D0AE7}" id="{2FE38244-20CD-DC4C-9C09-15431B7E5858}" parentId="{A5EE39D0-FED6-DA41-9C62-52EE9D502E90}">
    <text>Looks quite certain this is at UPE_U. The serial is recorded from a sticker on the side of the mount plate, which is new as of 2026 (new type)</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CA43F-C4A5-4563-9AFC-0AD23C067109}">
  <sheetPr codeName="Sheet2"/>
  <dimension ref="B2:L24"/>
  <sheetViews>
    <sheetView topLeftCell="A3" workbookViewId="0">
      <selection activeCell="M17" sqref="M17"/>
    </sheetView>
  </sheetViews>
  <sheetFormatPr baseColWidth="10" defaultColWidth="8.6640625" defaultRowHeight="15" x14ac:dyDescent="0.2"/>
  <cols>
    <col min="11" max="11" width="11" customWidth="1"/>
  </cols>
  <sheetData>
    <row r="2" spans="2:12" x14ac:dyDescent="0.2">
      <c r="B2" s="28"/>
      <c r="K2" s="32" t="s">
        <v>0</v>
      </c>
    </row>
    <row r="10" spans="2:12" x14ac:dyDescent="0.2">
      <c r="K10" t="s">
        <v>1</v>
      </c>
    </row>
    <row r="11" spans="2:12" x14ac:dyDescent="0.2">
      <c r="K11" t="s">
        <v>2</v>
      </c>
      <c r="L11" t="s">
        <v>3</v>
      </c>
    </row>
    <row r="12" spans="2:12" x14ac:dyDescent="0.2">
      <c r="K12" t="s">
        <v>4</v>
      </c>
      <c r="L12" t="s">
        <v>3</v>
      </c>
    </row>
    <row r="13" spans="2:12" x14ac:dyDescent="0.2">
      <c r="K13" t="s">
        <v>5</v>
      </c>
      <c r="L13" t="s">
        <v>3</v>
      </c>
    </row>
    <row r="14" spans="2:12" x14ac:dyDescent="0.2">
      <c r="K14" t="s">
        <v>6</v>
      </c>
      <c r="L14" t="s">
        <v>3</v>
      </c>
    </row>
    <row r="15" spans="2:12" x14ac:dyDescent="0.2">
      <c r="K15" t="s">
        <v>7</v>
      </c>
      <c r="L15" t="s">
        <v>3</v>
      </c>
    </row>
    <row r="16" spans="2:12" x14ac:dyDescent="0.2">
      <c r="K16" t="s">
        <v>8</v>
      </c>
      <c r="L16" t="s">
        <v>3</v>
      </c>
    </row>
    <row r="17" spans="11:12" x14ac:dyDescent="0.2">
      <c r="K17" s="51" t="s">
        <v>677</v>
      </c>
    </row>
    <row r="18" spans="11:12" x14ac:dyDescent="0.2">
      <c r="K18" t="s">
        <v>9</v>
      </c>
      <c r="L18" t="s">
        <v>3</v>
      </c>
    </row>
    <row r="19" spans="11:12" x14ac:dyDescent="0.2">
      <c r="K19" t="s">
        <v>10</v>
      </c>
      <c r="L19" t="s">
        <v>3</v>
      </c>
    </row>
    <row r="20" spans="11:12" x14ac:dyDescent="0.2">
      <c r="K20" s="51" t="s">
        <v>11</v>
      </c>
      <c r="L20" s="51"/>
    </row>
    <row r="21" spans="11:12" x14ac:dyDescent="0.2">
      <c r="K21" t="s">
        <v>12</v>
      </c>
      <c r="L21" t="s">
        <v>3</v>
      </c>
    </row>
    <row r="22" spans="11:12" x14ac:dyDescent="0.2">
      <c r="K22" s="51" t="s">
        <v>13</v>
      </c>
    </row>
    <row r="23" spans="11:12" x14ac:dyDescent="0.2">
      <c r="K23" s="51" t="s">
        <v>657</v>
      </c>
      <c r="L23" s="46">
        <v>46279</v>
      </c>
    </row>
    <row r="24" spans="11:12" x14ac:dyDescent="0.2">
      <c r="K24" s="51" t="s">
        <v>658</v>
      </c>
      <c r="L24" s="46">
        <v>46287</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05EA3-EDF3-45F5-B265-B376994F56D9}">
  <sheetPr codeName="Sheet1" filterMode="1"/>
  <dimension ref="A1:BF269"/>
  <sheetViews>
    <sheetView tabSelected="1" zoomScaleNormal="100" workbookViewId="0">
      <pane xSplit="3" ySplit="2" topLeftCell="D154" activePane="bottomRight" state="frozenSplit"/>
      <selection pane="topRight" activeCell="C1" sqref="C1"/>
      <selection pane="bottomLeft" activeCell="A2" sqref="A2"/>
      <selection pane="bottomRight" activeCell="D175" sqref="D175"/>
    </sheetView>
  </sheetViews>
  <sheetFormatPr baseColWidth="10" defaultColWidth="8.6640625" defaultRowHeight="15" x14ac:dyDescent="0.2"/>
  <cols>
    <col min="1" max="1" width="14.1640625" bestFit="1" customWidth="1"/>
    <col min="2" max="2" width="14.5" bestFit="1" customWidth="1"/>
    <col min="3" max="3" width="11.5" customWidth="1"/>
    <col min="4" max="4" width="14.5" customWidth="1"/>
    <col min="5" max="5" width="16.5" bestFit="1" customWidth="1"/>
    <col min="6" max="6" width="14.5" customWidth="1"/>
    <col min="7" max="7" width="25.6640625" customWidth="1"/>
    <col min="8" max="8" width="25.1640625" customWidth="1"/>
    <col min="9" max="9" width="19.33203125" customWidth="1"/>
    <col min="10" max="10" width="18.33203125" customWidth="1"/>
    <col min="11" max="13" width="27.33203125" customWidth="1"/>
    <col min="14" max="14" width="17.5" customWidth="1"/>
    <col min="15" max="15" width="43.6640625" customWidth="1"/>
    <col min="16" max="16" width="38.1640625" customWidth="1"/>
    <col min="17" max="17" width="20.5" style="2" customWidth="1"/>
    <col min="18" max="18" width="20.5" style="3" customWidth="1"/>
    <col min="19" max="19" width="20.5" style="6" bestFit="1" customWidth="1"/>
    <col min="20" max="20" width="27.33203125" style="1" bestFit="1" customWidth="1"/>
    <col min="21" max="21" width="16" bestFit="1" customWidth="1"/>
    <col min="22" max="22" width="19.33203125" bestFit="1" customWidth="1"/>
    <col min="23" max="23" width="21.1640625" bestFit="1" customWidth="1"/>
    <col min="24" max="24" width="21.1640625" customWidth="1"/>
    <col min="25" max="26" width="22" style="1" customWidth="1"/>
    <col min="27" max="28" width="21.1640625" customWidth="1"/>
    <col min="29" max="29" width="22.33203125" customWidth="1"/>
    <col min="30" max="30" width="13.5" customWidth="1"/>
    <col min="31" max="32" width="21.1640625" customWidth="1"/>
    <col min="33" max="33" width="26" customWidth="1"/>
    <col min="34" max="35" width="22.33203125" customWidth="1"/>
    <col min="36" max="37" width="21.1640625" customWidth="1"/>
    <col min="38" max="39" width="22.33203125" customWidth="1"/>
    <col min="40" max="50" width="21.1640625" customWidth="1"/>
    <col min="51" max="51" width="39.6640625" bestFit="1" customWidth="1"/>
    <col min="52" max="56" width="21.1640625" customWidth="1"/>
    <col min="57" max="57" width="46.6640625" bestFit="1" customWidth="1"/>
    <col min="58" max="58" width="253.6640625" bestFit="1" customWidth="1"/>
  </cols>
  <sheetData>
    <row r="1" spans="1:58" ht="19" x14ac:dyDescent="0.25">
      <c r="A1" s="37" t="s">
        <v>14</v>
      </c>
      <c r="B1" s="38"/>
      <c r="C1" s="38"/>
      <c r="D1" s="38"/>
      <c r="E1" s="38"/>
      <c r="F1" s="38"/>
      <c r="G1" s="38"/>
      <c r="H1" s="38"/>
      <c r="I1" s="38"/>
      <c r="J1" s="39"/>
      <c r="K1" s="37" t="s">
        <v>15</v>
      </c>
      <c r="L1" s="38"/>
      <c r="M1" s="38"/>
      <c r="N1" s="38"/>
      <c r="O1" s="38"/>
      <c r="P1" s="38"/>
      <c r="Q1" s="39"/>
      <c r="R1" s="40" t="s">
        <v>16</v>
      </c>
      <c r="S1" s="41"/>
      <c r="T1" s="41"/>
      <c r="U1" s="41"/>
      <c r="V1" s="41"/>
      <c r="W1" s="41"/>
      <c r="X1" s="42"/>
      <c r="Y1" s="40" t="s">
        <v>17</v>
      </c>
      <c r="Z1" s="41"/>
      <c r="AA1" s="41"/>
      <c r="AB1" s="41"/>
      <c r="AC1" s="41"/>
      <c r="AD1" s="41"/>
      <c r="AE1" s="41"/>
      <c r="AF1" s="41"/>
      <c r="AG1" s="41"/>
      <c r="AH1" s="41"/>
      <c r="AI1" s="42"/>
      <c r="AJ1" s="37" t="s">
        <v>18</v>
      </c>
      <c r="AK1" s="38"/>
      <c r="AL1" s="38"/>
      <c r="AM1" s="38"/>
      <c r="AN1" s="38"/>
      <c r="AO1" s="38"/>
      <c r="AP1" s="38"/>
      <c r="AQ1" s="38"/>
      <c r="AR1" s="38"/>
      <c r="AS1" s="39"/>
      <c r="AT1" s="37" t="s">
        <v>19</v>
      </c>
      <c r="AU1" s="38"/>
      <c r="AV1" s="38"/>
      <c r="AW1" s="38"/>
      <c r="AX1" s="38"/>
      <c r="AY1" s="38"/>
      <c r="AZ1" s="39"/>
      <c r="BA1" s="38" t="s">
        <v>20</v>
      </c>
      <c r="BB1" s="38"/>
      <c r="BC1" s="38"/>
      <c r="BD1" s="39"/>
      <c r="BE1" s="36" t="s">
        <v>21</v>
      </c>
      <c r="BF1" s="36"/>
    </row>
    <row r="2" spans="1:58" s="33" customFormat="1" x14ac:dyDescent="0.2">
      <c r="A2" s="33" t="s">
        <v>22</v>
      </c>
      <c r="B2" s="33" t="s">
        <v>23</v>
      </c>
      <c r="C2" s="33" t="s">
        <v>24</v>
      </c>
      <c r="D2" s="33" t="s">
        <v>25</v>
      </c>
      <c r="E2" s="33" t="s">
        <v>26</v>
      </c>
      <c r="F2" s="33" t="s">
        <v>27</v>
      </c>
      <c r="G2" s="33" t="s">
        <v>28</v>
      </c>
      <c r="H2" s="33" t="s">
        <v>29</v>
      </c>
      <c r="I2" s="33" t="s">
        <v>30</v>
      </c>
      <c r="J2" s="33" t="s">
        <v>31</v>
      </c>
      <c r="K2" s="33" t="s">
        <v>32</v>
      </c>
      <c r="L2" s="33" t="s">
        <v>33</v>
      </c>
      <c r="M2" s="33" t="s">
        <v>34</v>
      </c>
      <c r="N2" s="33" t="s">
        <v>35</v>
      </c>
      <c r="O2" s="33" t="s">
        <v>36</v>
      </c>
      <c r="P2" s="33" t="s">
        <v>37</v>
      </c>
      <c r="Q2" s="34" t="s">
        <v>38</v>
      </c>
      <c r="R2" s="33" t="s">
        <v>39</v>
      </c>
      <c r="S2" s="35" t="s">
        <v>40</v>
      </c>
      <c r="T2" s="34" t="s">
        <v>41</v>
      </c>
      <c r="U2" s="33" t="s">
        <v>42</v>
      </c>
      <c r="V2" s="33" t="s">
        <v>43</v>
      </c>
      <c r="W2" s="33" t="s">
        <v>44</v>
      </c>
      <c r="X2" s="33" t="s">
        <v>45</v>
      </c>
      <c r="Y2" s="34" t="s">
        <v>46</v>
      </c>
      <c r="Z2" s="34" t="s">
        <v>47</v>
      </c>
      <c r="AA2" s="33" t="s">
        <v>48</v>
      </c>
      <c r="AB2" s="33" t="s">
        <v>49</v>
      </c>
      <c r="AC2" s="33" t="s">
        <v>50</v>
      </c>
      <c r="AD2" s="33" t="s">
        <v>51</v>
      </c>
      <c r="AE2" s="33" t="s">
        <v>52</v>
      </c>
      <c r="AF2" s="33" t="s">
        <v>53</v>
      </c>
      <c r="AG2" s="33" t="s">
        <v>54</v>
      </c>
      <c r="AH2" s="33" t="s">
        <v>55</v>
      </c>
      <c r="AI2" s="33" t="s">
        <v>56</v>
      </c>
      <c r="AJ2" s="33" t="s">
        <v>57</v>
      </c>
      <c r="AK2" s="33" t="s">
        <v>58</v>
      </c>
      <c r="AL2" s="33" t="s">
        <v>59</v>
      </c>
      <c r="AM2" s="33" t="s">
        <v>60</v>
      </c>
      <c r="AN2" s="33" t="s">
        <v>61</v>
      </c>
      <c r="AO2" s="33" t="s">
        <v>62</v>
      </c>
      <c r="AP2" s="33" t="s">
        <v>63</v>
      </c>
      <c r="AQ2" s="33" t="s">
        <v>64</v>
      </c>
      <c r="AR2" s="33" t="s">
        <v>65</v>
      </c>
      <c r="AS2" s="33" t="s">
        <v>66</v>
      </c>
      <c r="AT2" s="33" t="s">
        <v>67</v>
      </c>
      <c r="AU2" s="33" t="s">
        <v>68</v>
      </c>
      <c r="AV2" s="33" t="s">
        <v>69</v>
      </c>
      <c r="AW2" s="33" t="s">
        <v>70</v>
      </c>
      <c r="AX2" s="33" t="s">
        <v>71</v>
      </c>
      <c r="AY2" s="33" t="s">
        <v>72</v>
      </c>
      <c r="AZ2" s="33" t="s">
        <v>73</v>
      </c>
      <c r="BA2" s="33" t="s">
        <v>74</v>
      </c>
      <c r="BB2" s="33" t="s">
        <v>75</v>
      </c>
      <c r="BC2" s="33" t="s">
        <v>76</v>
      </c>
      <c r="BD2" s="33" t="s">
        <v>77</v>
      </c>
      <c r="BE2" s="33" t="s">
        <v>78</v>
      </c>
      <c r="BF2" s="33" t="s">
        <v>79</v>
      </c>
    </row>
    <row r="3" spans="1:58" hidden="1" x14ac:dyDescent="0.2">
      <c r="A3" t="s">
        <v>80</v>
      </c>
      <c r="B3" t="s">
        <v>80</v>
      </c>
      <c r="C3" s="5">
        <v>34857</v>
      </c>
      <c r="D3" t="s">
        <v>81</v>
      </c>
      <c r="E3" t="s">
        <v>82</v>
      </c>
      <c r="F3" t="s">
        <v>83</v>
      </c>
      <c r="G3" t="s">
        <v>84</v>
      </c>
      <c r="I3" t="s">
        <v>85</v>
      </c>
      <c r="J3" t="s">
        <v>86</v>
      </c>
      <c r="Q3" s="7"/>
      <c r="R3"/>
      <c r="S3"/>
      <c r="Y3"/>
      <c r="Z3"/>
      <c r="BF3" t="s">
        <v>87</v>
      </c>
    </row>
    <row r="4" spans="1:58" hidden="1" x14ac:dyDescent="0.2">
      <c r="A4" t="s">
        <v>80</v>
      </c>
      <c r="B4" t="s">
        <v>80</v>
      </c>
      <c r="C4" s="5">
        <v>44729</v>
      </c>
      <c r="D4" t="s">
        <v>81</v>
      </c>
      <c r="E4" t="s">
        <v>82</v>
      </c>
      <c r="F4" t="s">
        <v>83</v>
      </c>
      <c r="G4" t="s">
        <v>84</v>
      </c>
      <c r="I4" t="s">
        <v>85</v>
      </c>
      <c r="J4" t="s">
        <v>88</v>
      </c>
      <c r="Q4" s="7"/>
      <c r="R4"/>
      <c r="S4"/>
      <c r="T4"/>
      <c r="Y4"/>
      <c r="Z4"/>
      <c r="BF4" t="s">
        <v>87</v>
      </c>
    </row>
    <row r="5" spans="1:58" x14ac:dyDescent="0.2">
      <c r="A5" t="s">
        <v>130</v>
      </c>
      <c r="B5" t="s">
        <v>80</v>
      </c>
      <c r="C5" s="5">
        <v>42887</v>
      </c>
      <c r="D5" t="s">
        <v>81</v>
      </c>
      <c r="E5" t="s">
        <v>90</v>
      </c>
      <c r="F5" t="s">
        <v>83</v>
      </c>
      <c r="G5" t="s">
        <v>131</v>
      </c>
      <c r="H5" t="s">
        <v>132</v>
      </c>
      <c r="I5" t="s">
        <v>85</v>
      </c>
      <c r="J5" t="s">
        <v>86</v>
      </c>
      <c r="K5" t="s">
        <v>134</v>
      </c>
      <c r="L5" t="s">
        <v>135</v>
      </c>
      <c r="M5">
        <v>5050</v>
      </c>
      <c r="N5" t="s">
        <v>109</v>
      </c>
      <c r="O5" t="s">
        <v>509</v>
      </c>
      <c r="P5" t="s">
        <v>138</v>
      </c>
      <c r="Q5" s="7" t="s">
        <v>109</v>
      </c>
      <c r="R5"/>
      <c r="S5"/>
      <c r="T5"/>
      <c r="W5" t="s">
        <v>139</v>
      </c>
      <c r="X5">
        <v>2017</v>
      </c>
      <c r="Y5"/>
      <c r="Z5"/>
      <c r="AT5">
        <v>2017</v>
      </c>
      <c r="AY5" t="s">
        <v>140</v>
      </c>
      <c r="AZ5">
        <v>2017</v>
      </c>
      <c r="BF5" t="s">
        <v>510</v>
      </c>
    </row>
    <row r="6" spans="1:58" x14ac:dyDescent="0.2">
      <c r="A6" t="s">
        <v>130</v>
      </c>
      <c r="B6" t="s">
        <v>80</v>
      </c>
      <c r="C6" s="5">
        <v>44729</v>
      </c>
      <c r="D6" t="s">
        <v>81</v>
      </c>
      <c r="E6" t="s">
        <v>90</v>
      </c>
      <c r="F6" t="s">
        <v>83</v>
      </c>
      <c r="G6" t="s">
        <v>131</v>
      </c>
      <c r="H6" t="s">
        <v>132</v>
      </c>
      <c r="I6" t="s">
        <v>85</v>
      </c>
      <c r="J6" t="s">
        <v>133</v>
      </c>
      <c r="K6" t="s">
        <v>134</v>
      </c>
      <c r="L6" t="s">
        <v>135</v>
      </c>
      <c r="M6">
        <v>5050</v>
      </c>
      <c r="N6" t="s">
        <v>136</v>
      </c>
      <c r="O6" t="s">
        <v>137</v>
      </c>
      <c r="P6" t="s">
        <v>138</v>
      </c>
      <c r="Q6" s="7" t="s">
        <v>109</v>
      </c>
      <c r="R6"/>
      <c r="S6"/>
      <c r="T6"/>
      <c r="W6" t="s">
        <v>139</v>
      </c>
      <c r="X6">
        <v>2017</v>
      </c>
      <c r="Y6"/>
      <c r="Z6"/>
      <c r="AT6">
        <v>2017</v>
      </c>
      <c r="AY6" t="s">
        <v>140</v>
      </c>
      <c r="AZ6">
        <v>2017</v>
      </c>
    </row>
    <row r="7" spans="1:58" x14ac:dyDescent="0.2">
      <c r="A7" t="s">
        <v>141</v>
      </c>
      <c r="B7" t="s">
        <v>80</v>
      </c>
      <c r="C7" s="5">
        <v>44729</v>
      </c>
      <c r="D7" t="s">
        <v>81</v>
      </c>
      <c r="E7" t="s">
        <v>90</v>
      </c>
      <c r="F7" t="s">
        <v>83</v>
      </c>
      <c r="G7" t="s">
        <v>155</v>
      </c>
      <c r="I7" t="s">
        <v>85</v>
      </c>
      <c r="J7" t="s">
        <v>86</v>
      </c>
      <c r="K7" t="s">
        <v>134</v>
      </c>
      <c r="L7" t="s">
        <v>95</v>
      </c>
      <c r="M7" t="s">
        <v>109</v>
      </c>
      <c r="N7" t="s">
        <v>109</v>
      </c>
      <c r="O7" t="s">
        <v>109</v>
      </c>
      <c r="P7" t="s">
        <v>109</v>
      </c>
      <c r="Q7" s="2">
        <v>300534062418810</v>
      </c>
      <c r="R7" s="3" t="s">
        <v>98</v>
      </c>
      <c r="S7" s="6" t="s">
        <v>409</v>
      </c>
      <c r="T7" s="1">
        <v>2021</v>
      </c>
      <c r="W7" t="s">
        <v>452</v>
      </c>
      <c r="X7">
        <v>2022</v>
      </c>
      <c r="Y7"/>
      <c r="Z7"/>
      <c r="AJ7">
        <v>2022</v>
      </c>
      <c r="AK7">
        <v>2022</v>
      </c>
      <c r="AP7" t="s">
        <v>110</v>
      </c>
      <c r="AQ7">
        <v>2022</v>
      </c>
      <c r="AR7" t="s">
        <v>101</v>
      </c>
      <c r="AS7">
        <v>2022</v>
      </c>
      <c r="AT7">
        <v>2022</v>
      </c>
      <c r="AY7" t="s">
        <v>111</v>
      </c>
      <c r="AZ7">
        <v>2022</v>
      </c>
    </row>
    <row r="8" spans="1:58" x14ac:dyDescent="0.2">
      <c r="A8" t="s">
        <v>130</v>
      </c>
      <c r="B8" t="s">
        <v>80</v>
      </c>
      <c r="C8" s="5">
        <v>45106</v>
      </c>
      <c r="D8" t="s">
        <v>81</v>
      </c>
      <c r="E8" t="s">
        <v>90</v>
      </c>
      <c r="F8" t="s">
        <v>83</v>
      </c>
      <c r="G8" t="s">
        <v>131</v>
      </c>
      <c r="H8" t="s">
        <v>132</v>
      </c>
      <c r="I8" t="s">
        <v>85</v>
      </c>
      <c r="J8" t="s">
        <v>133</v>
      </c>
      <c r="K8" t="s">
        <v>134</v>
      </c>
      <c r="L8" t="s">
        <v>135</v>
      </c>
      <c r="M8">
        <v>5050</v>
      </c>
      <c r="N8" t="s">
        <v>136</v>
      </c>
      <c r="O8" t="s">
        <v>137</v>
      </c>
      <c r="P8" t="s">
        <v>138</v>
      </c>
      <c r="Q8" s="7" t="s">
        <v>109</v>
      </c>
      <c r="R8"/>
      <c r="S8"/>
      <c r="T8"/>
      <c r="W8" t="s">
        <v>139</v>
      </c>
      <c r="X8">
        <v>2017</v>
      </c>
      <c r="Y8"/>
      <c r="Z8"/>
      <c r="AT8">
        <v>2017</v>
      </c>
      <c r="AY8" t="s">
        <v>140</v>
      </c>
      <c r="AZ8">
        <v>2017</v>
      </c>
    </row>
    <row r="9" spans="1:58" x14ac:dyDescent="0.2">
      <c r="A9" t="s">
        <v>141</v>
      </c>
      <c r="B9" t="s">
        <v>80</v>
      </c>
      <c r="C9" s="5">
        <v>45106</v>
      </c>
      <c r="D9" t="s">
        <v>81</v>
      </c>
      <c r="E9" t="s">
        <v>90</v>
      </c>
      <c r="F9" t="s">
        <v>83</v>
      </c>
      <c r="G9" t="s">
        <v>155</v>
      </c>
      <c r="I9" t="s">
        <v>85</v>
      </c>
      <c r="J9" t="s">
        <v>93</v>
      </c>
      <c r="K9" t="s">
        <v>134</v>
      </c>
      <c r="L9" t="s">
        <v>95</v>
      </c>
      <c r="M9" t="s">
        <v>109</v>
      </c>
      <c r="N9" t="s">
        <v>109</v>
      </c>
      <c r="O9" t="s">
        <v>109</v>
      </c>
      <c r="P9" t="s">
        <v>109</v>
      </c>
      <c r="Q9" s="2">
        <v>300534062418810</v>
      </c>
      <c r="R9" s="3" t="s">
        <v>98</v>
      </c>
      <c r="S9" s="6" t="s">
        <v>409</v>
      </c>
      <c r="T9" s="1">
        <v>2021</v>
      </c>
      <c r="W9" t="s">
        <v>452</v>
      </c>
      <c r="X9">
        <v>2022</v>
      </c>
      <c r="Y9"/>
      <c r="Z9"/>
      <c r="AJ9">
        <v>2023</v>
      </c>
      <c r="AK9">
        <v>2023</v>
      </c>
      <c r="AP9" t="s">
        <v>110</v>
      </c>
      <c r="AQ9">
        <v>2022</v>
      </c>
      <c r="AR9" t="s">
        <v>101</v>
      </c>
      <c r="AS9">
        <v>2022</v>
      </c>
      <c r="AT9">
        <v>2022</v>
      </c>
      <c r="AY9" t="s">
        <v>404</v>
      </c>
      <c r="AZ9">
        <v>2022</v>
      </c>
      <c r="BE9" t="s">
        <v>453</v>
      </c>
    </row>
    <row r="10" spans="1:58" x14ac:dyDescent="0.2">
      <c r="A10" t="s">
        <v>130</v>
      </c>
      <c r="B10" t="s">
        <v>80</v>
      </c>
      <c r="C10" s="5">
        <v>45427</v>
      </c>
      <c r="D10" t="s">
        <v>81</v>
      </c>
      <c r="E10" t="s">
        <v>90</v>
      </c>
      <c r="F10" t="s">
        <v>83</v>
      </c>
      <c r="G10" t="s">
        <v>131</v>
      </c>
      <c r="H10" t="s">
        <v>132</v>
      </c>
      <c r="I10" t="s">
        <v>85</v>
      </c>
      <c r="J10" t="s">
        <v>133</v>
      </c>
      <c r="K10" t="s">
        <v>134</v>
      </c>
      <c r="L10" t="s">
        <v>135</v>
      </c>
      <c r="M10">
        <v>5050</v>
      </c>
      <c r="N10" t="s">
        <v>136</v>
      </c>
      <c r="O10" t="s">
        <v>137</v>
      </c>
      <c r="P10" t="s">
        <v>138</v>
      </c>
      <c r="Q10" s="7" t="s">
        <v>109</v>
      </c>
      <c r="R10"/>
      <c r="S10"/>
      <c r="T10"/>
      <c r="W10" t="s">
        <v>139</v>
      </c>
      <c r="X10">
        <v>2017</v>
      </c>
      <c r="Y10"/>
      <c r="Z10"/>
      <c r="AT10">
        <v>2017</v>
      </c>
      <c r="AY10" t="s">
        <v>140</v>
      </c>
      <c r="AZ10">
        <v>2017</v>
      </c>
    </row>
    <row r="11" spans="1:58" x14ac:dyDescent="0.2">
      <c r="A11" t="s">
        <v>141</v>
      </c>
      <c r="B11" t="s">
        <v>80</v>
      </c>
      <c r="C11" s="5">
        <v>45427</v>
      </c>
      <c r="D11" t="s">
        <v>81</v>
      </c>
      <c r="E11" t="s">
        <v>90</v>
      </c>
      <c r="F11" t="s">
        <v>83</v>
      </c>
      <c r="G11" t="s">
        <v>91</v>
      </c>
      <c r="I11" t="s">
        <v>85</v>
      </c>
      <c r="J11" t="s">
        <v>93</v>
      </c>
      <c r="K11" t="s">
        <v>328</v>
      </c>
      <c r="L11" t="s">
        <v>95</v>
      </c>
      <c r="M11">
        <v>54788</v>
      </c>
      <c r="N11" t="s">
        <v>105</v>
      </c>
      <c r="O11" t="s">
        <v>144</v>
      </c>
      <c r="P11" t="s">
        <v>329</v>
      </c>
      <c r="Q11" s="2">
        <v>300534062418810</v>
      </c>
      <c r="R11" s="3" t="s">
        <v>98</v>
      </c>
      <c r="S11" s="6" t="s">
        <v>409</v>
      </c>
      <c r="T11" s="1">
        <v>2021</v>
      </c>
      <c r="U11" t="s">
        <v>99</v>
      </c>
      <c r="V11">
        <v>2024</v>
      </c>
      <c r="W11" t="s">
        <v>146</v>
      </c>
      <c r="X11">
        <v>2024</v>
      </c>
      <c r="Y11"/>
      <c r="Z11"/>
      <c r="AJ11">
        <v>2024</v>
      </c>
      <c r="AK11">
        <v>2024</v>
      </c>
      <c r="AN11">
        <v>2024</v>
      </c>
      <c r="AO11">
        <v>2024</v>
      </c>
      <c r="AP11" t="s">
        <v>110</v>
      </c>
      <c r="AQ11">
        <v>2022</v>
      </c>
      <c r="AR11" t="s">
        <v>110</v>
      </c>
      <c r="AS11">
        <v>2024</v>
      </c>
      <c r="AT11">
        <v>2022</v>
      </c>
      <c r="AY11" t="s">
        <v>404</v>
      </c>
      <c r="AZ11">
        <v>2022</v>
      </c>
    </row>
    <row r="12" spans="1:58" x14ac:dyDescent="0.2">
      <c r="A12" t="s">
        <v>130</v>
      </c>
      <c r="B12" t="s">
        <v>80</v>
      </c>
      <c r="C12" s="5">
        <v>45819</v>
      </c>
      <c r="D12" t="s">
        <v>81</v>
      </c>
      <c r="E12" t="s">
        <v>90</v>
      </c>
      <c r="F12" t="s">
        <v>83</v>
      </c>
      <c r="G12" t="s">
        <v>131</v>
      </c>
      <c r="H12" t="s">
        <v>132</v>
      </c>
      <c r="I12" t="s">
        <v>85</v>
      </c>
      <c r="J12" t="s">
        <v>133</v>
      </c>
      <c r="K12" t="s">
        <v>134</v>
      </c>
      <c r="L12" t="s">
        <v>135</v>
      </c>
      <c r="M12">
        <v>5050</v>
      </c>
      <c r="N12" t="s">
        <v>136</v>
      </c>
      <c r="O12" t="s">
        <v>137</v>
      </c>
      <c r="P12" t="s">
        <v>138</v>
      </c>
      <c r="Q12" s="7" t="s">
        <v>109</v>
      </c>
      <c r="R12"/>
      <c r="S12"/>
      <c r="T12"/>
      <c r="W12" t="s">
        <v>139</v>
      </c>
      <c r="X12">
        <v>2017</v>
      </c>
      <c r="Y12"/>
      <c r="Z12"/>
      <c r="AT12">
        <v>2017</v>
      </c>
      <c r="AY12" t="s">
        <v>140</v>
      </c>
      <c r="AZ12">
        <v>2017</v>
      </c>
    </row>
    <row r="13" spans="1:58" x14ac:dyDescent="0.2">
      <c r="A13" t="s">
        <v>141</v>
      </c>
      <c r="B13" t="s">
        <v>80</v>
      </c>
      <c r="C13" s="5">
        <v>45819</v>
      </c>
      <c r="D13" t="s">
        <v>81</v>
      </c>
      <c r="E13" t="s">
        <v>90</v>
      </c>
      <c r="F13" t="s">
        <v>83</v>
      </c>
      <c r="G13" t="s">
        <v>91</v>
      </c>
      <c r="I13" t="s">
        <v>85</v>
      </c>
      <c r="J13" t="s">
        <v>93</v>
      </c>
      <c r="K13" t="s">
        <v>328</v>
      </c>
      <c r="L13" t="s">
        <v>95</v>
      </c>
      <c r="M13">
        <v>54788</v>
      </c>
      <c r="N13" t="s">
        <v>105</v>
      </c>
      <c r="O13" t="s">
        <v>144</v>
      </c>
      <c r="P13" t="s">
        <v>329</v>
      </c>
      <c r="Q13" s="2">
        <v>300534063816570</v>
      </c>
      <c r="R13" s="3" t="s">
        <v>98</v>
      </c>
      <c r="S13" s="6">
        <v>212887</v>
      </c>
      <c r="T13" s="2">
        <v>2025</v>
      </c>
      <c r="U13" t="s">
        <v>99</v>
      </c>
      <c r="V13">
        <v>2024</v>
      </c>
      <c r="W13" t="s">
        <v>146</v>
      </c>
      <c r="X13">
        <v>2024</v>
      </c>
      <c r="Y13"/>
      <c r="Z13"/>
      <c r="AJ13">
        <v>2025</v>
      </c>
      <c r="AK13">
        <v>2025</v>
      </c>
      <c r="AN13">
        <v>2024</v>
      </c>
      <c r="AO13">
        <v>2024</v>
      </c>
      <c r="AP13" t="s">
        <v>110</v>
      </c>
      <c r="AQ13">
        <v>2022</v>
      </c>
      <c r="AR13" t="s">
        <v>110</v>
      </c>
      <c r="AS13">
        <v>2025</v>
      </c>
      <c r="AT13">
        <v>2022</v>
      </c>
      <c r="AY13" t="s">
        <v>111</v>
      </c>
      <c r="AZ13">
        <v>2022</v>
      </c>
      <c r="BE13" t="s">
        <v>330</v>
      </c>
      <c r="BF13" t="s">
        <v>331</v>
      </c>
    </row>
    <row r="14" spans="1:58" x14ac:dyDescent="0.2">
      <c r="A14" t="s">
        <v>130</v>
      </c>
      <c r="B14" t="s">
        <v>80</v>
      </c>
      <c r="C14" s="5">
        <v>46182</v>
      </c>
      <c r="D14" t="s">
        <v>81</v>
      </c>
      <c r="E14" t="s">
        <v>90</v>
      </c>
      <c r="F14" t="s">
        <v>83</v>
      </c>
      <c r="G14" t="s">
        <v>131</v>
      </c>
      <c r="H14" t="s">
        <v>132</v>
      </c>
      <c r="I14" t="s">
        <v>85</v>
      </c>
      <c r="J14" t="s">
        <v>133</v>
      </c>
      <c r="K14" t="s">
        <v>134</v>
      </c>
      <c r="L14" t="s">
        <v>135</v>
      </c>
      <c r="M14">
        <v>5050</v>
      </c>
      <c r="N14" t="s">
        <v>136</v>
      </c>
      <c r="O14" t="s">
        <v>137</v>
      </c>
      <c r="P14" t="s">
        <v>138</v>
      </c>
      <c r="Q14" s="7" t="s">
        <v>109</v>
      </c>
      <c r="R14"/>
      <c r="S14"/>
      <c r="T14"/>
      <c r="W14" t="s">
        <v>139</v>
      </c>
      <c r="X14">
        <v>2017</v>
      </c>
      <c r="Y14"/>
      <c r="Z14"/>
      <c r="AT14">
        <v>2017</v>
      </c>
      <c r="AY14" t="s">
        <v>140</v>
      </c>
      <c r="AZ14">
        <v>2017</v>
      </c>
    </row>
    <row r="15" spans="1:58" x14ac:dyDescent="0.2">
      <c r="A15" t="s">
        <v>141</v>
      </c>
      <c r="B15" t="s">
        <v>80</v>
      </c>
      <c r="C15" s="5">
        <v>46182</v>
      </c>
      <c r="D15" t="s">
        <v>81</v>
      </c>
      <c r="E15" t="s">
        <v>90</v>
      </c>
      <c r="F15" t="s">
        <v>83</v>
      </c>
      <c r="G15" t="s">
        <v>91</v>
      </c>
      <c r="I15" t="s">
        <v>85</v>
      </c>
      <c r="J15" t="s">
        <v>93</v>
      </c>
      <c r="K15" t="s">
        <v>142</v>
      </c>
      <c r="L15" t="s">
        <v>118</v>
      </c>
      <c r="M15">
        <v>71648</v>
      </c>
      <c r="N15" t="s">
        <v>143</v>
      </c>
      <c r="O15" t="s">
        <v>144</v>
      </c>
      <c r="P15" t="s">
        <v>145</v>
      </c>
      <c r="Q15" s="2">
        <v>300534068054900</v>
      </c>
      <c r="R15" s="3" t="s">
        <v>98</v>
      </c>
      <c r="S15" s="6">
        <v>212887</v>
      </c>
      <c r="T15" s="2">
        <v>2025</v>
      </c>
      <c r="U15" t="s">
        <v>99</v>
      </c>
      <c r="V15">
        <v>2026</v>
      </c>
      <c r="W15" t="s">
        <v>146</v>
      </c>
      <c r="X15">
        <v>2026</v>
      </c>
      <c r="Y15"/>
      <c r="Z15"/>
      <c r="AJ15">
        <v>2026</v>
      </c>
      <c r="AK15">
        <v>2026</v>
      </c>
      <c r="AL15">
        <v>2026</v>
      </c>
      <c r="AN15">
        <v>2024</v>
      </c>
      <c r="AO15">
        <v>2024</v>
      </c>
      <c r="AP15" t="s">
        <v>110</v>
      </c>
      <c r="AQ15">
        <v>2026</v>
      </c>
      <c r="AR15" t="s">
        <v>110</v>
      </c>
      <c r="AS15">
        <v>2026</v>
      </c>
      <c r="AT15">
        <v>2022</v>
      </c>
      <c r="AY15" t="s">
        <v>102</v>
      </c>
      <c r="AZ15">
        <v>2026</v>
      </c>
    </row>
    <row r="16" spans="1:58" x14ac:dyDescent="0.2">
      <c r="A16" t="s">
        <v>154</v>
      </c>
      <c r="B16" t="s">
        <v>154</v>
      </c>
      <c r="C16" s="5">
        <v>44727</v>
      </c>
      <c r="D16" t="s">
        <v>81</v>
      </c>
      <c r="E16" t="s">
        <v>90</v>
      </c>
      <c r="F16" t="s">
        <v>83</v>
      </c>
      <c r="G16" t="s">
        <v>155</v>
      </c>
      <c r="I16" t="s">
        <v>85</v>
      </c>
      <c r="J16" t="s">
        <v>86</v>
      </c>
      <c r="K16" t="s">
        <v>156</v>
      </c>
      <c r="L16" t="s">
        <v>95</v>
      </c>
      <c r="M16">
        <v>31339</v>
      </c>
      <c r="N16" t="s">
        <v>231</v>
      </c>
      <c r="O16" t="s">
        <v>485</v>
      </c>
      <c r="P16" t="s">
        <v>109</v>
      </c>
      <c r="Q16" s="2">
        <v>300534062024750</v>
      </c>
      <c r="R16" s="3" t="s">
        <v>98</v>
      </c>
      <c r="S16" s="6" t="s">
        <v>151</v>
      </c>
      <c r="T16" s="1">
        <v>2022</v>
      </c>
      <c r="W16" t="s">
        <v>362</v>
      </c>
      <c r="X16">
        <v>2022</v>
      </c>
      <c r="Y16"/>
      <c r="Z16"/>
      <c r="AJ16">
        <v>2022</v>
      </c>
      <c r="AK16">
        <v>2022</v>
      </c>
      <c r="AP16" t="s">
        <v>110</v>
      </c>
      <c r="AQ16">
        <v>2022</v>
      </c>
      <c r="AR16" t="s">
        <v>110</v>
      </c>
      <c r="AS16">
        <v>2022</v>
      </c>
      <c r="AT16">
        <v>2022</v>
      </c>
      <c r="AY16" t="s">
        <v>111</v>
      </c>
      <c r="AZ16">
        <v>2022</v>
      </c>
    </row>
    <row r="17" spans="1:58" x14ac:dyDescent="0.2">
      <c r="A17" t="s">
        <v>154</v>
      </c>
      <c r="B17" t="s">
        <v>154</v>
      </c>
      <c r="C17" s="5">
        <v>45096</v>
      </c>
      <c r="D17" t="s">
        <v>81</v>
      </c>
      <c r="E17" t="s">
        <v>90</v>
      </c>
      <c r="F17" t="s">
        <v>83</v>
      </c>
      <c r="G17" t="s">
        <v>155</v>
      </c>
      <c r="I17" t="s">
        <v>85</v>
      </c>
      <c r="J17" t="s">
        <v>93</v>
      </c>
      <c r="K17" t="s">
        <v>156</v>
      </c>
      <c r="L17" t="s">
        <v>95</v>
      </c>
      <c r="M17">
        <v>31339</v>
      </c>
      <c r="N17" t="s">
        <v>231</v>
      </c>
      <c r="O17" t="s">
        <v>432</v>
      </c>
      <c r="P17" t="s">
        <v>109</v>
      </c>
      <c r="Q17" s="2">
        <v>300534062024750</v>
      </c>
      <c r="R17" s="3" t="s">
        <v>98</v>
      </c>
      <c r="S17" s="6" t="s">
        <v>151</v>
      </c>
      <c r="T17" s="1">
        <v>2022</v>
      </c>
      <c r="W17" t="s">
        <v>362</v>
      </c>
      <c r="X17">
        <v>2022</v>
      </c>
      <c r="Y17"/>
      <c r="Z17"/>
      <c r="AJ17">
        <v>2023</v>
      </c>
      <c r="AK17">
        <v>2023</v>
      </c>
      <c r="AP17" t="s">
        <v>110</v>
      </c>
      <c r="AQ17">
        <v>2022</v>
      </c>
      <c r="AR17" t="s">
        <v>110</v>
      </c>
      <c r="AS17">
        <v>2022</v>
      </c>
      <c r="AT17">
        <v>2022</v>
      </c>
      <c r="AY17" t="s">
        <v>111</v>
      </c>
      <c r="AZ17">
        <v>2022</v>
      </c>
    </row>
    <row r="18" spans="1:58" x14ac:dyDescent="0.2">
      <c r="A18" t="s">
        <v>154</v>
      </c>
      <c r="B18" t="s">
        <v>154</v>
      </c>
      <c r="C18" s="5">
        <v>45437</v>
      </c>
      <c r="D18" t="s">
        <v>81</v>
      </c>
      <c r="E18" t="s">
        <v>90</v>
      </c>
      <c r="F18" t="s">
        <v>83</v>
      </c>
      <c r="G18" t="s">
        <v>155</v>
      </c>
      <c r="I18" t="s">
        <v>85</v>
      </c>
      <c r="J18" t="s">
        <v>93</v>
      </c>
      <c r="K18" t="s">
        <v>156</v>
      </c>
      <c r="L18" t="s">
        <v>95</v>
      </c>
      <c r="M18">
        <v>31339</v>
      </c>
      <c r="N18" t="s">
        <v>105</v>
      </c>
      <c r="O18" t="s">
        <v>223</v>
      </c>
      <c r="P18" t="s">
        <v>109</v>
      </c>
      <c r="Q18" s="2">
        <v>300534062024750</v>
      </c>
      <c r="R18" s="3" t="s">
        <v>98</v>
      </c>
      <c r="S18" s="6" t="s">
        <v>151</v>
      </c>
      <c r="T18" s="1">
        <v>2022</v>
      </c>
      <c r="W18" t="s">
        <v>159</v>
      </c>
      <c r="X18">
        <v>2024</v>
      </c>
      <c r="Y18"/>
      <c r="Z18"/>
      <c r="AJ18">
        <v>2024</v>
      </c>
      <c r="AK18">
        <v>2024</v>
      </c>
      <c r="AP18" t="s">
        <v>110</v>
      </c>
      <c r="AQ18">
        <v>2022</v>
      </c>
      <c r="AR18" t="s">
        <v>110</v>
      </c>
      <c r="AS18">
        <v>2022</v>
      </c>
      <c r="AT18">
        <v>2022</v>
      </c>
      <c r="AY18" t="s">
        <v>111</v>
      </c>
      <c r="AZ18">
        <v>2022</v>
      </c>
    </row>
    <row r="19" spans="1:58" x14ac:dyDescent="0.2">
      <c r="A19" t="s">
        <v>154</v>
      </c>
      <c r="B19" t="s">
        <v>154</v>
      </c>
      <c r="C19" s="5">
        <v>45786</v>
      </c>
      <c r="D19" t="s">
        <v>81</v>
      </c>
      <c r="E19" t="s">
        <v>90</v>
      </c>
      <c r="F19" t="s">
        <v>83</v>
      </c>
      <c r="G19" t="s">
        <v>155</v>
      </c>
      <c r="I19" t="s">
        <v>85</v>
      </c>
      <c r="J19" t="s">
        <v>93</v>
      </c>
      <c r="K19" t="s">
        <v>156</v>
      </c>
      <c r="L19" t="s">
        <v>95</v>
      </c>
      <c r="M19">
        <v>31339</v>
      </c>
      <c r="N19" t="s">
        <v>105</v>
      </c>
      <c r="O19" t="s">
        <v>223</v>
      </c>
      <c r="P19" t="s">
        <v>109</v>
      </c>
      <c r="Q19" s="2">
        <v>300534062024750</v>
      </c>
      <c r="R19" s="3" t="s">
        <v>98</v>
      </c>
      <c r="S19" s="6">
        <v>213256</v>
      </c>
      <c r="T19" s="1">
        <v>2025</v>
      </c>
      <c r="W19" t="s">
        <v>159</v>
      </c>
      <c r="X19">
        <v>2024</v>
      </c>
      <c r="Y19"/>
      <c r="Z19"/>
      <c r="AJ19">
        <v>2025</v>
      </c>
      <c r="AK19">
        <v>2025</v>
      </c>
      <c r="AP19" t="s">
        <v>110</v>
      </c>
      <c r="AQ19">
        <v>2025</v>
      </c>
      <c r="AR19" t="s">
        <v>110</v>
      </c>
      <c r="AS19">
        <v>2025</v>
      </c>
      <c r="AT19">
        <v>2022</v>
      </c>
      <c r="AY19" t="s">
        <v>111</v>
      </c>
      <c r="AZ19">
        <v>2022</v>
      </c>
      <c r="BF19" t="s">
        <v>368</v>
      </c>
    </row>
    <row r="20" spans="1:58" x14ac:dyDescent="0.2">
      <c r="A20" t="s">
        <v>154</v>
      </c>
      <c r="B20" t="s">
        <v>154</v>
      </c>
      <c r="C20" s="5">
        <v>46150</v>
      </c>
      <c r="D20" t="s">
        <v>81</v>
      </c>
      <c r="E20" t="s">
        <v>90</v>
      </c>
      <c r="F20" t="s">
        <v>83</v>
      </c>
      <c r="G20" t="s">
        <v>155</v>
      </c>
      <c r="I20" t="s">
        <v>85</v>
      </c>
      <c r="J20" t="s">
        <v>93</v>
      </c>
      <c r="K20" t="s">
        <v>156</v>
      </c>
      <c r="L20" t="s">
        <v>95</v>
      </c>
      <c r="M20">
        <v>31339</v>
      </c>
      <c r="N20" t="s">
        <v>105</v>
      </c>
      <c r="O20" t="s">
        <v>157</v>
      </c>
      <c r="P20" t="s">
        <v>109</v>
      </c>
      <c r="Q20" s="2">
        <v>300534062024750</v>
      </c>
      <c r="R20" s="3" t="s">
        <v>98</v>
      </c>
      <c r="S20" s="6" t="s">
        <v>158</v>
      </c>
      <c r="T20" s="1">
        <v>2026</v>
      </c>
      <c r="W20" t="s">
        <v>159</v>
      </c>
      <c r="X20">
        <v>2026</v>
      </c>
      <c r="Y20"/>
      <c r="Z20"/>
      <c r="AJ20">
        <v>2025</v>
      </c>
      <c r="AK20">
        <v>2026</v>
      </c>
      <c r="AL20">
        <v>2026</v>
      </c>
      <c r="AM20">
        <v>2026</v>
      </c>
      <c r="AP20" t="s">
        <v>110</v>
      </c>
      <c r="AQ20">
        <v>2025</v>
      </c>
      <c r="AR20" t="s">
        <v>110</v>
      </c>
      <c r="AS20">
        <v>2025</v>
      </c>
      <c r="AT20">
        <v>2022</v>
      </c>
      <c r="AY20" t="s">
        <v>102</v>
      </c>
      <c r="AZ20">
        <v>2026</v>
      </c>
      <c r="BA20" t="s">
        <v>160</v>
      </c>
      <c r="BB20">
        <v>2026</v>
      </c>
      <c r="BF20" t="s">
        <v>161</v>
      </c>
    </row>
    <row r="21" spans="1:58" hidden="1" x14ac:dyDescent="0.2">
      <c r="A21" t="s">
        <v>196</v>
      </c>
      <c r="B21" t="s">
        <v>154</v>
      </c>
      <c r="C21" s="5">
        <v>34842</v>
      </c>
      <c r="D21" t="s">
        <v>81</v>
      </c>
      <c r="E21" t="s">
        <v>82</v>
      </c>
      <c r="F21" t="s">
        <v>83</v>
      </c>
      <c r="G21" t="s">
        <v>84</v>
      </c>
      <c r="I21" t="s">
        <v>85</v>
      </c>
      <c r="J21" t="s">
        <v>86</v>
      </c>
      <c r="K21" s="32"/>
      <c r="T21" s="2"/>
      <c r="Y21"/>
      <c r="Z21"/>
    </row>
    <row r="22" spans="1:58" hidden="1" x14ac:dyDescent="0.2">
      <c r="A22" t="s">
        <v>196</v>
      </c>
      <c r="B22" t="s">
        <v>154</v>
      </c>
      <c r="C22" s="5">
        <v>44727</v>
      </c>
      <c r="D22" t="s">
        <v>81</v>
      </c>
      <c r="E22" t="s">
        <v>82</v>
      </c>
      <c r="F22" t="s">
        <v>83</v>
      </c>
      <c r="G22" t="s">
        <v>84</v>
      </c>
      <c r="I22" t="s">
        <v>85</v>
      </c>
      <c r="J22" t="s">
        <v>88</v>
      </c>
      <c r="K22" s="32"/>
      <c r="T22" s="2"/>
      <c r="Y22"/>
      <c r="Z22"/>
    </row>
    <row r="23" spans="1:58" x14ac:dyDescent="0.2">
      <c r="A23" t="s">
        <v>162</v>
      </c>
      <c r="B23" t="s">
        <v>163</v>
      </c>
      <c r="C23" s="5">
        <v>44728</v>
      </c>
      <c r="D23" t="s">
        <v>81</v>
      </c>
      <c r="E23" t="s">
        <v>90</v>
      </c>
      <c r="F23" t="s">
        <v>83</v>
      </c>
      <c r="G23" t="s">
        <v>155</v>
      </c>
      <c r="I23" t="s">
        <v>85</v>
      </c>
      <c r="J23" t="s">
        <v>93</v>
      </c>
      <c r="K23" t="s">
        <v>134</v>
      </c>
      <c r="L23" t="s">
        <v>95</v>
      </c>
      <c r="M23">
        <v>35449</v>
      </c>
      <c r="N23" t="s">
        <v>364</v>
      </c>
      <c r="O23" t="s">
        <v>483</v>
      </c>
      <c r="P23" t="s">
        <v>109</v>
      </c>
      <c r="Q23" s="2">
        <v>300534063811780</v>
      </c>
      <c r="R23" s="3" t="s">
        <v>98</v>
      </c>
      <c r="S23" s="6" t="s">
        <v>484</v>
      </c>
      <c r="W23" t="s">
        <v>362</v>
      </c>
      <c r="X23">
        <v>2022</v>
      </c>
      <c r="Y23"/>
      <c r="Z23"/>
      <c r="AJ23">
        <v>2022</v>
      </c>
      <c r="AK23">
        <v>2022</v>
      </c>
      <c r="AP23" t="s">
        <v>110</v>
      </c>
      <c r="AQ23">
        <v>2022</v>
      </c>
      <c r="AR23" t="s">
        <v>110</v>
      </c>
      <c r="AS23">
        <v>2022</v>
      </c>
      <c r="AT23">
        <v>2022</v>
      </c>
      <c r="AY23" t="s">
        <v>111</v>
      </c>
      <c r="AZ23">
        <v>2022</v>
      </c>
    </row>
    <row r="24" spans="1:58" x14ac:dyDescent="0.2">
      <c r="A24" t="s">
        <v>162</v>
      </c>
      <c r="B24" t="s">
        <v>163</v>
      </c>
      <c r="C24" s="5">
        <v>45096</v>
      </c>
      <c r="D24" t="s">
        <v>81</v>
      </c>
      <c r="E24" t="s">
        <v>90</v>
      </c>
      <c r="F24" t="s">
        <v>83</v>
      </c>
      <c r="G24" t="s">
        <v>155</v>
      </c>
      <c r="I24" t="s">
        <v>85</v>
      </c>
      <c r="J24" t="s">
        <v>93</v>
      </c>
      <c r="K24" t="s">
        <v>134</v>
      </c>
      <c r="L24" t="s">
        <v>95</v>
      </c>
      <c r="M24">
        <v>35449</v>
      </c>
      <c r="N24" t="s">
        <v>364</v>
      </c>
      <c r="O24" t="s">
        <v>432</v>
      </c>
      <c r="P24" t="s">
        <v>109</v>
      </c>
      <c r="Q24" s="2">
        <v>300534063811780</v>
      </c>
      <c r="R24" s="3" t="s">
        <v>98</v>
      </c>
      <c r="S24" s="6">
        <v>131455</v>
      </c>
      <c r="T24" s="1">
        <v>2023</v>
      </c>
      <c r="W24" t="s">
        <v>362</v>
      </c>
      <c r="X24">
        <v>2022</v>
      </c>
      <c r="Y24"/>
      <c r="Z24"/>
      <c r="AJ24">
        <v>2023</v>
      </c>
      <c r="AK24">
        <v>2023</v>
      </c>
      <c r="AP24" t="s">
        <v>110</v>
      </c>
      <c r="AQ24">
        <v>2022</v>
      </c>
      <c r="AR24" t="s">
        <v>110</v>
      </c>
      <c r="AS24">
        <v>2022</v>
      </c>
      <c r="AT24">
        <v>2022</v>
      </c>
      <c r="AY24" t="s">
        <v>111</v>
      </c>
      <c r="AZ24">
        <v>2022</v>
      </c>
    </row>
    <row r="25" spans="1:58" x14ac:dyDescent="0.2">
      <c r="A25" t="s">
        <v>178</v>
      </c>
      <c r="B25" t="s">
        <v>163</v>
      </c>
      <c r="C25" s="5">
        <v>45096</v>
      </c>
      <c r="D25" t="s">
        <v>81</v>
      </c>
      <c r="E25" t="s">
        <v>90</v>
      </c>
      <c r="F25" t="s">
        <v>83</v>
      </c>
      <c r="G25" t="s">
        <v>131</v>
      </c>
      <c r="H25" t="s">
        <v>179</v>
      </c>
      <c r="I25" t="s">
        <v>85</v>
      </c>
      <c r="J25" t="s">
        <v>86</v>
      </c>
      <c r="K25" t="s">
        <v>134</v>
      </c>
      <c r="L25" t="s">
        <v>180</v>
      </c>
      <c r="M25">
        <v>46144</v>
      </c>
      <c r="N25" t="s">
        <v>181</v>
      </c>
      <c r="O25" t="s">
        <v>182</v>
      </c>
      <c r="P25" t="s">
        <v>183</v>
      </c>
      <c r="Q25" s="7"/>
      <c r="R25"/>
      <c r="S25"/>
      <c r="T25"/>
      <c r="Y25"/>
      <c r="Z25"/>
      <c r="AY25" t="s">
        <v>184</v>
      </c>
      <c r="AZ25">
        <v>2023</v>
      </c>
      <c r="BA25" t="s">
        <v>185</v>
      </c>
      <c r="BB25">
        <v>2023</v>
      </c>
    </row>
    <row r="26" spans="1:58" x14ac:dyDescent="0.2">
      <c r="A26" t="s">
        <v>162</v>
      </c>
      <c r="B26" t="s">
        <v>163</v>
      </c>
      <c r="C26" s="5">
        <v>45432</v>
      </c>
      <c r="D26" t="s">
        <v>81</v>
      </c>
      <c r="E26" t="s">
        <v>90</v>
      </c>
      <c r="F26" t="s">
        <v>83</v>
      </c>
      <c r="G26" t="s">
        <v>155</v>
      </c>
      <c r="I26" t="s">
        <v>85</v>
      </c>
      <c r="J26" t="s">
        <v>93</v>
      </c>
      <c r="K26" t="s">
        <v>134</v>
      </c>
      <c r="L26" t="s">
        <v>95</v>
      </c>
      <c r="M26">
        <v>35449</v>
      </c>
      <c r="N26" t="s">
        <v>364</v>
      </c>
      <c r="O26" t="s">
        <v>223</v>
      </c>
      <c r="P26" t="s">
        <v>109</v>
      </c>
      <c r="Q26" s="2">
        <v>300534063811780</v>
      </c>
      <c r="R26" s="3" t="s">
        <v>98</v>
      </c>
      <c r="S26" s="6">
        <v>131455</v>
      </c>
      <c r="T26" s="1">
        <v>2023</v>
      </c>
      <c r="W26" t="s">
        <v>159</v>
      </c>
      <c r="X26">
        <v>2024</v>
      </c>
      <c r="Y26"/>
      <c r="Z26"/>
      <c r="AJ26">
        <v>2024</v>
      </c>
      <c r="AK26">
        <v>2024</v>
      </c>
      <c r="AP26" t="s">
        <v>110</v>
      </c>
      <c r="AQ26">
        <v>2022</v>
      </c>
      <c r="AR26" t="s">
        <v>110</v>
      </c>
      <c r="AS26">
        <v>2022</v>
      </c>
      <c r="AT26">
        <v>2022</v>
      </c>
      <c r="AY26" t="s">
        <v>111</v>
      </c>
      <c r="AZ26">
        <v>2022</v>
      </c>
    </row>
    <row r="27" spans="1:58" x14ac:dyDescent="0.2">
      <c r="A27" t="s">
        <v>166</v>
      </c>
      <c r="B27" t="s">
        <v>163</v>
      </c>
      <c r="C27" s="5">
        <v>45432</v>
      </c>
      <c r="D27" t="s">
        <v>81</v>
      </c>
      <c r="E27" t="s">
        <v>90</v>
      </c>
      <c r="F27" t="s">
        <v>83</v>
      </c>
      <c r="G27" t="s">
        <v>355</v>
      </c>
      <c r="I27" t="s">
        <v>85</v>
      </c>
      <c r="J27" t="s">
        <v>86</v>
      </c>
      <c r="K27" t="s">
        <v>356</v>
      </c>
      <c r="L27" t="s">
        <v>95</v>
      </c>
      <c r="M27">
        <v>55532</v>
      </c>
      <c r="N27" t="s">
        <v>357</v>
      </c>
      <c r="O27" t="s">
        <v>408</v>
      </c>
      <c r="P27" t="s">
        <v>359</v>
      </c>
      <c r="Q27" s="2">
        <v>300534064286800</v>
      </c>
      <c r="R27"/>
      <c r="S27"/>
      <c r="T27"/>
      <c r="U27" t="s">
        <v>99</v>
      </c>
      <c r="V27">
        <v>2024</v>
      </c>
      <c r="Y27"/>
      <c r="Z27"/>
      <c r="AT27">
        <v>2024</v>
      </c>
      <c r="AV27">
        <v>2024</v>
      </c>
      <c r="AW27" t="s">
        <v>360</v>
      </c>
      <c r="AX27">
        <v>2024</v>
      </c>
      <c r="AY27" t="s">
        <v>111</v>
      </c>
      <c r="AZ27">
        <v>2024</v>
      </c>
      <c r="BA27" t="s">
        <v>176</v>
      </c>
      <c r="BB27">
        <v>2024</v>
      </c>
      <c r="BC27" t="s">
        <v>361</v>
      </c>
      <c r="BD27">
        <v>2024</v>
      </c>
    </row>
    <row r="28" spans="1:58" x14ac:dyDescent="0.2">
      <c r="A28" t="s">
        <v>178</v>
      </c>
      <c r="B28" t="s">
        <v>163</v>
      </c>
      <c r="C28" s="5">
        <v>45432</v>
      </c>
      <c r="D28" t="s">
        <v>81</v>
      </c>
      <c r="E28" t="s">
        <v>90</v>
      </c>
      <c r="F28" t="s">
        <v>83</v>
      </c>
      <c r="G28" t="s">
        <v>131</v>
      </c>
      <c r="H28" t="s">
        <v>179</v>
      </c>
      <c r="I28" t="s">
        <v>85</v>
      </c>
      <c r="J28" t="s">
        <v>93</v>
      </c>
      <c r="K28" t="s">
        <v>134</v>
      </c>
      <c r="L28" t="s">
        <v>180</v>
      </c>
      <c r="M28">
        <v>46144</v>
      </c>
      <c r="N28" t="s">
        <v>181</v>
      </c>
      <c r="O28" t="s">
        <v>182</v>
      </c>
      <c r="P28" t="s">
        <v>183</v>
      </c>
      <c r="Q28" s="7"/>
      <c r="R28"/>
      <c r="S28"/>
      <c r="T28"/>
      <c r="Y28"/>
      <c r="Z28"/>
      <c r="AY28" t="s">
        <v>184</v>
      </c>
      <c r="AZ28">
        <v>2023</v>
      </c>
      <c r="BA28" t="s">
        <v>185</v>
      </c>
      <c r="BB28">
        <v>2023</v>
      </c>
    </row>
    <row r="29" spans="1:58" x14ac:dyDescent="0.2">
      <c r="A29" t="s">
        <v>162</v>
      </c>
      <c r="B29" t="s">
        <v>163</v>
      </c>
      <c r="C29" s="5">
        <v>45789</v>
      </c>
      <c r="D29" t="s">
        <v>81</v>
      </c>
      <c r="E29" t="s">
        <v>90</v>
      </c>
      <c r="F29" t="s">
        <v>83</v>
      </c>
      <c r="G29" t="s">
        <v>155</v>
      </c>
      <c r="I29" t="s">
        <v>85</v>
      </c>
      <c r="J29" t="s">
        <v>93</v>
      </c>
      <c r="K29" t="s">
        <v>134</v>
      </c>
      <c r="L29" t="s">
        <v>95</v>
      </c>
      <c r="M29">
        <v>35449</v>
      </c>
      <c r="N29" t="s">
        <v>364</v>
      </c>
      <c r="O29" t="s">
        <v>223</v>
      </c>
      <c r="P29" t="s">
        <v>109</v>
      </c>
      <c r="Q29" s="2">
        <v>300534063811780</v>
      </c>
      <c r="R29" s="3" t="s">
        <v>98</v>
      </c>
      <c r="S29" s="6">
        <v>131455</v>
      </c>
      <c r="T29" s="1">
        <v>2023</v>
      </c>
      <c r="W29" t="s">
        <v>159</v>
      </c>
      <c r="X29">
        <v>2024</v>
      </c>
      <c r="Y29"/>
      <c r="Z29"/>
      <c r="AJ29">
        <v>2025</v>
      </c>
      <c r="AK29">
        <v>2025</v>
      </c>
      <c r="AP29" t="s">
        <v>110</v>
      </c>
      <c r="AQ29">
        <v>2025</v>
      </c>
      <c r="AR29" t="s">
        <v>110</v>
      </c>
      <c r="AS29">
        <v>2025</v>
      </c>
      <c r="AT29">
        <v>2025</v>
      </c>
      <c r="AY29" t="s">
        <v>111</v>
      </c>
      <c r="AZ29">
        <v>2022</v>
      </c>
      <c r="BF29" t="s">
        <v>365</v>
      </c>
    </row>
    <row r="30" spans="1:58" x14ac:dyDescent="0.2">
      <c r="A30" t="s">
        <v>178</v>
      </c>
      <c r="B30" t="s">
        <v>163</v>
      </c>
      <c r="C30" s="5">
        <v>45789</v>
      </c>
      <c r="D30" t="s">
        <v>81</v>
      </c>
      <c r="E30" t="s">
        <v>90</v>
      </c>
      <c r="F30" t="s">
        <v>83</v>
      </c>
      <c r="G30" t="s">
        <v>131</v>
      </c>
      <c r="H30" t="s">
        <v>179</v>
      </c>
      <c r="I30" t="s">
        <v>85</v>
      </c>
      <c r="J30" t="s">
        <v>93</v>
      </c>
      <c r="K30" t="s">
        <v>134</v>
      </c>
      <c r="L30" t="s">
        <v>180</v>
      </c>
      <c r="M30">
        <v>46144</v>
      </c>
      <c r="N30" t="s">
        <v>181</v>
      </c>
      <c r="O30" t="s">
        <v>182</v>
      </c>
      <c r="P30" t="s">
        <v>183</v>
      </c>
      <c r="Q30" s="7"/>
      <c r="R30"/>
      <c r="S30"/>
      <c r="T30"/>
      <c r="Y30"/>
      <c r="Z30"/>
      <c r="AY30" t="s">
        <v>184</v>
      </c>
      <c r="AZ30">
        <v>2025</v>
      </c>
      <c r="BA30" t="s">
        <v>185</v>
      </c>
      <c r="BB30">
        <v>2023</v>
      </c>
    </row>
    <row r="31" spans="1:58" x14ac:dyDescent="0.2">
      <c r="A31" t="s">
        <v>166</v>
      </c>
      <c r="B31" t="s">
        <v>163</v>
      </c>
      <c r="C31" s="5">
        <v>45794</v>
      </c>
      <c r="D31" t="s">
        <v>81</v>
      </c>
      <c r="E31" t="s">
        <v>90</v>
      </c>
      <c r="F31" t="s">
        <v>83</v>
      </c>
      <c r="G31" t="s">
        <v>355</v>
      </c>
      <c r="I31" t="s">
        <v>85</v>
      </c>
      <c r="J31" t="s">
        <v>93</v>
      </c>
      <c r="K31" t="s">
        <v>356</v>
      </c>
      <c r="L31" t="s">
        <v>95</v>
      </c>
      <c r="M31">
        <v>55532</v>
      </c>
      <c r="N31" t="s">
        <v>357</v>
      </c>
      <c r="O31" t="s">
        <v>358</v>
      </c>
      <c r="P31" t="s">
        <v>359</v>
      </c>
      <c r="Q31" s="2">
        <v>300534064286800</v>
      </c>
      <c r="R31"/>
      <c r="S31"/>
      <c r="T31"/>
      <c r="U31" t="s">
        <v>99</v>
      </c>
      <c r="V31">
        <v>2024</v>
      </c>
      <c r="Y31"/>
      <c r="Z31"/>
      <c r="AT31">
        <v>2024</v>
      </c>
      <c r="AV31">
        <v>2024</v>
      </c>
      <c r="AW31" t="s">
        <v>360</v>
      </c>
      <c r="AX31">
        <v>2024</v>
      </c>
      <c r="AY31" t="s">
        <v>111</v>
      </c>
      <c r="AZ31">
        <v>2024</v>
      </c>
      <c r="BA31" t="s">
        <v>176</v>
      </c>
      <c r="BB31">
        <v>2024</v>
      </c>
      <c r="BC31" t="s">
        <v>361</v>
      </c>
      <c r="BD31">
        <v>2024</v>
      </c>
    </row>
    <row r="32" spans="1:58" hidden="1" x14ac:dyDescent="0.2">
      <c r="A32" t="s">
        <v>262</v>
      </c>
      <c r="B32" t="s">
        <v>163</v>
      </c>
      <c r="C32" s="5">
        <v>35209</v>
      </c>
      <c r="D32" t="s">
        <v>81</v>
      </c>
      <c r="E32" t="s">
        <v>82</v>
      </c>
      <c r="F32" t="s">
        <v>83</v>
      </c>
      <c r="G32" t="s">
        <v>84</v>
      </c>
      <c r="I32" t="s">
        <v>85</v>
      </c>
      <c r="J32" t="s">
        <v>86</v>
      </c>
      <c r="Q32" s="7"/>
      <c r="Y32"/>
      <c r="Z32"/>
    </row>
    <row r="33" spans="1:58" hidden="1" x14ac:dyDescent="0.2">
      <c r="A33" t="s">
        <v>262</v>
      </c>
      <c r="B33" t="s">
        <v>163</v>
      </c>
      <c r="C33" s="5">
        <v>44728</v>
      </c>
      <c r="D33" t="s">
        <v>81</v>
      </c>
      <c r="E33" t="s">
        <v>82</v>
      </c>
      <c r="F33" t="s">
        <v>83</v>
      </c>
      <c r="G33" t="s">
        <v>84</v>
      </c>
      <c r="I33" t="s">
        <v>85</v>
      </c>
      <c r="J33" t="s">
        <v>88</v>
      </c>
      <c r="Q33" s="7"/>
      <c r="Y33"/>
      <c r="Z33"/>
    </row>
    <row r="34" spans="1:58" x14ac:dyDescent="0.2">
      <c r="A34" t="s">
        <v>162</v>
      </c>
      <c r="B34" t="s">
        <v>163</v>
      </c>
      <c r="C34" s="5">
        <v>46142</v>
      </c>
      <c r="D34" t="s">
        <v>81</v>
      </c>
      <c r="E34" t="s">
        <v>90</v>
      </c>
      <c r="F34" t="s">
        <v>83</v>
      </c>
      <c r="G34" t="s">
        <v>155</v>
      </c>
      <c r="I34" t="s">
        <v>85</v>
      </c>
      <c r="J34" t="s">
        <v>93</v>
      </c>
      <c r="K34" t="s">
        <v>134</v>
      </c>
      <c r="L34" t="s">
        <v>95</v>
      </c>
      <c r="M34">
        <v>35449</v>
      </c>
      <c r="N34" t="s">
        <v>164</v>
      </c>
      <c r="O34" t="s">
        <v>157</v>
      </c>
      <c r="P34" t="s">
        <v>109</v>
      </c>
      <c r="Q34" s="2">
        <v>300234010884770</v>
      </c>
      <c r="R34" s="3" t="s">
        <v>98</v>
      </c>
      <c r="S34" s="6" t="s">
        <v>165</v>
      </c>
      <c r="T34" s="1">
        <v>2026</v>
      </c>
      <c r="W34" t="s">
        <v>159</v>
      </c>
      <c r="X34">
        <v>2024</v>
      </c>
      <c r="Y34"/>
      <c r="Z34"/>
      <c r="AJ34">
        <v>2026</v>
      </c>
      <c r="AK34">
        <v>2026</v>
      </c>
      <c r="AL34">
        <v>2026</v>
      </c>
      <c r="AM34">
        <v>2026</v>
      </c>
      <c r="AP34" t="s">
        <v>110</v>
      </c>
      <c r="AQ34">
        <v>2025</v>
      </c>
      <c r="AR34" t="s">
        <v>110</v>
      </c>
      <c r="AS34">
        <v>2025</v>
      </c>
      <c r="AT34">
        <v>2025</v>
      </c>
      <c r="AY34" t="s">
        <v>102</v>
      </c>
      <c r="AZ34">
        <v>2026</v>
      </c>
      <c r="BA34" t="s">
        <v>160</v>
      </c>
      <c r="BB34">
        <v>2026</v>
      </c>
    </row>
    <row r="35" spans="1:58" x14ac:dyDescent="0.2">
      <c r="A35" t="s">
        <v>162</v>
      </c>
      <c r="B35" t="s">
        <v>163</v>
      </c>
      <c r="C35" s="5">
        <v>46150</v>
      </c>
      <c r="D35" t="s">
        <v>81</v>
      </c>
      <c r="E35" t="s">
        <v>90</v>
      </c>
      <c r="F35" t="s">
        <v>83</v>
      </c>
      <c r="G35" t="s">
        <v>155</v>
      </c>
      <c r="I35" t="s">
        <v>85</v>
      </c>
      <c r="J35" t="s">
        <v>93</v>
      </c>
      <c r="K35" t="s">
        <v>134</v>
      </c>
      <c r="L35" t="s">
        <v>95</v>
      </c>
      <c r="M35">
        <v>35449</v>
      </c>
      <c r="N35" t="s">
        <v>164</v>
      </c>
      <c r="O35" t="s">
        <v>157</v>
      </c>
      <c r="P35" t="s">
        <v>109</v>
      </c>
      <c r="Q35" s="2">
        <v>300234010884770</v>
      </c>
      <c r="R35" s="3" t="s">
        <v>98</v>
      </c>
      <c r="S35" s="6" t="s">
        <v>165</v>
      </c>
      <c r="T35" s="1">
        <v>2026</v>
      </c>
      <c r="W35" t="s">
        <v>159</v>
      </c>
      <c r="X35">
        <v>2026</v>
      </c>
      <c r="Y35"/>
      <c r="Z35"/>
      <c r="AJ35">
        <v>2026</v>
      </c>
      <c r="AK35">
        <v>2026</v>
      </c>
      <c r="AL35">
        <v>2026</v>
      </c>
      <c r="AM35">
        <v>2026</v>
      </c>
      <c r="AP35" t="s">
        <v>110</v>
      </c>
      <c r="AQ35">
        <v>2025</v>
      </c>
      <c r="AR35" t="s">
        <v>110</v>
      </c>
      <c r="AS35">
        <v>2025</v>
      </c>
      <c r="AT35">
        <v>2025</v>
      </c>
      <c r="AY35" t="s">
        <v>102</v>
      </c>
      <c r="AZ35">
        <v>2026</v>
      </c>
      <c r="BA35" t="s">
        <v>160</v>
      </c>
      <c r="BB35">
        <v>2026</v>
      </c>
    </row>
    <row r="36" spans="1:58" x14ac:dyDescent="0.2">
      <c r="A36" t="s">
        <v>166</v>
      </c>
      <c r="B36" t="s">
        <v>163</v>
      </c>
      <c r="C36" s="5">
        <v>46150</v>
      </c>
      <c r="D36" t="s">
        <v>81</v>
      </c>
      <c r="E36" t="s">
        <v>90</v>
      </c>
      <c r="F36" t="s">
        <v>83</v>
      </c>
      <c r="G36" t="s">
        <v>167</v>
      </c>
      <c r="I36" t="s">
        <v>85</v>
      </c>
      <c r="J36" t="s">
        <v>168</v>
      </c>
      <c r="K36" t="s">
        <v>169</v>
      </c>
      <c r="L36" t="s">
        <v>95</v>
      </c>
      <c r="M36">
        <v>41251</v>
      </c>
      <c r="N36" t="s">
        <v>170</v>
      </c>
      <c r="O36" t="s">
        <v>171</v>
      </c>
      <c r="P36" t="s">
        <v>172</v>
      </c>
      <c r="Q36" s="2">
        <v>300534064388790</v>
      </c>
      <c r="R36"/>
      <c r="S36"/>
      <c r="T36"/>
      <c r="U36" t="s">
        <v>99</v>
      </c>
      <c r="V36">
        <v>2026</v>
      </c>
      <c r="Y36"/>
      <c r="Z36"/>
      <c r="AB36">
        <v>2026</v>
      </c>
      <c r="AT36">
        <v>2026</v>
      </c>
      <c r="AV36">
        <v>2026</v>
      </c>
      <c r="AW36" t="s">
        <v>173</v>
      </c>
      <c r="AX36">
        <v>2026</v>
      </c>
      <c r="AY36" t="s">
        <v>174</v>
      </c>
      <c r="AZ36">
        <v>2026</v>
      </c>
      <c r="BA36" t="s">
        <v>175</v>
      </c>
      <c r="BB36">
        <v>2026</v>
      </c>
      <c r="BC36" t="s">
        <v>176</v>
      </c>
      <c r="BD36">
        <v>2026</v>
      </c>
      <c r="BF36" t="s">
        <v>177</v>
      </c>
    </row>
    <row r="37" spans="1:58" x14ac:dyDescent="0.2">
      <c r="A37" t="s">
        <v>178</v>
      </c>
      <c r="B37" t="s">
        <v>163</v>
      </c>
      <c r="C37" s="5">
        <v>46150</v>
      </c>
      <c r="D37" t="s">
        <v>81</v>
      </c>
      <c r="E37" t="s">
        <v>90</v>
      </c>
      <c r="F37" t="s">
        <v>83</v>
      </c>
      <c r="G37" t="s">
        <v>131</v>
      </c>
      <c r="H37" t="s">
        <v>179</v>
      </c>
      <c r="I37" t="s">
        <v>85</v>
      </c>
      <c r="J37" t="s">
        <v>93</v>
      </c>
      <c r="K37" t="s">
        <v>134</v>
      </c>
      <c r="L37" t="s">
        <v>180</v>
      </c>
      <c r="M37">
        <v>46144</v>
      </c>
      <c r="N37" t="s">
        <v>181</v>
      </c>
      <c r="O37" t="s">
        <v>182</v>
      </c>
      <c r="P37" t="s">
        <v>183</v>
      </c>
      <c r="Q37" s="7"/>
      <c r="R37"/>
      <c r="S37"/>
      <c r="T37"/>
      <c r="Y37"/>
      <c r="Z37"/>
      <c r="AY37" t="s">
        <v>184</v>
      </c>
      <c r="AZ37">
        <v>2026</v>
      </c>
      <c r="BA37" t="s">
        <v>185</v>
      </c>
      <c r="BB37">
        <v>2023</v>
      </c>
    </row>
    <row r="38" spans="1:58" hidden="1" x14ac:dyDescent="0.2">
      <c r="A38" t="s">
        <v>287</v>
      </c>
      <c r="B38" t="s">
        <v>103</v>
      </c>
      <c r="C38" s="5">
        <v>41776</v>
      </c>
      <c r="D38" t="s">
        <v>81</v>
      </c>
      <c r="E38" t="s">
        <v>82</v>
      </c>
      <c r="F38" t="s">
        <v>83</v>
      </c>
      <c r="G38" t="s">
        <v>84</v>
      </c>
      <c r="I38" t="s">
        <v>85</v>
      </c>
      <c r="J38" t="s">
        <v>86</v>
      </c>
      <c r="R38"/>
      <c r="S38"/>
      <c r="T38"/>
      <c r="Y38"/>
      <c r="Z38"/>
    </row>
    <row r="39" spans="1:58" hidden="1" x14ac:dyDescent="0.2">
      <c r="A39" t="s">
        <v>287</v>
      </c>
      <c r="B39" t="s">
        <v>103</v>
      </c>
      <c r="C39" s="5">
        <v>44425</v>
      </c>
      <c r="D39" t="s">
        <v>81</v>
      </c>
      <c r="E39" t="s">
        <v>82</v>
      </c>
      <c r="F39" t="s">
        <v>83</v>
      </c>
      <c r="G39" t="s">
        <v>131</v>
      </c>
      <c r="H39" t="s">
        <v>288</v>
      </c>
      <c r="I39" t="s">
        <v>85</v>
      </c>
      <c r="J39" t="s">
        <v>93</v>
      </c>
      <c r="L39" t="s">
        <v>209</v>
      </c>
      <c r="O39" t="s">
        <v>289</v>
      </c>
      <c r="P39" t="s">
        <v>213</v>
      </c>
      <c r="Q39" s="2">
        <v>300534061627590</v>
      </c>
      <c r="R39" s="3" t="s">
        <v>214</v>
      </c>
      <c r="S39" s="6" t="s">
        <v>290</v>
      </c>
      <c r="T39" s="1">
        <v>2021</v>
      </c>
      <c r="U39" t="s">
        <v>99</v>
      </c>
      <c r="V39">
        <v>2021</v>
      </c>
      <c r="W39" t="s">
        <v>216</v>
      </c>
      <c r="X39">
        <v>2021</v>
      </c>
      <c r="Y39"/>
      <c r="Z39"/>
      <c r="AB39">
        <v>2021</v>
      </c>
      <c r="AE39" t="s">
        <v>110</v>
      </c>
      <c r="AF39">
        <v>2021</v>
      </c>
      <c r="AH39" t="s">
        <v>291</v>
      </c>
      <c r="AI39">
        <v>2021</v>
      </c>
    </row>
    <row r="40" spans="1:58" hidden="1" x14ac:dyDescent="0.2">
      <c r="A40" t="s">
        <v>287</v>
      </c>
      <c r="B40" t="s">
        <v>103</v>
      </c>
      <c r="C40" s="5">
        <v>45098</v>
      </c>
      <c r="D40" t="s">
        <v>81</v>
      </c>
      <c r="E40" t="s">
        <v>82</v>
      </c>
      <c r="F40" t="s">
        <v>83</v>
      </c>
      <c r="G40" t="s">
        <v>131</v>
      </c>
      <c r="H40" t="s">
        <v>288</v>
      </c>
      <c r="I40" t="s">
        <v>85</v>
      </c>
      <c r="J40" t="s">
        <v>88</v>
      </c>
      <c r="Y40"/>
      <c r="Z40"/>
    </row>
    <row r="41" spans="1:58" x14ac:dyDescent="0.2">
      <c r="A41" t="s">
        <v>103</v>
      </c>
      <c r="B41" t="s">
        <v>103</v>
      </c>
      <c r="C41" s="5">
        <v>45098</v>
      </c>
      <c r="D41" t="s">
        <v>81</v>
      </c>
      <c r="E41" t="s">
        <v>90</v>
      </c>
      <c r="F41" t="s">
        <v>83</v>
      </c>
      <c r="G41" t="s">
        <v>131</v>
      </c>
      <c r="H41" t="s">
        <v>288</v>
      </c>
      <c r="I41" t="s">
        <v>85</v>
      </c>
      <c r="J41" t="s">
        <v>86</v>
      </c>
      <c r="K41" t="s">
        <v>134</v>
      </c>
      <c r="L41" t="s">
        <v>209</v>
      </c>
      <c r="M41" t="s">
        <v>109</v>
      </c>
      <c r="N41" t="s">
        <v>109</v>
      </c>
      <c r="O41" t="s">
        <v>109</v>
      </c>
      <c r="P41" t="s">
        <v>109</v>
      </c>
      <c r="Q41" s="2">
        <v>300534061627590</v>
      </c>
      <c r="R41" s="3" t="s">
        <v>269</v>
      </c>
      <c r="S41" s="6" t="s">
        <v>456</v>
      </c>
      <c r="T41" s="1">
        <v>2023</v>
      </c>
      <c r="U41" t="s">
        <v>99</v>
      </c>
      <c r="V41">
        <v>2021</v>
      </c>
      <c r="W41" t="s">
        <v>216</v>
      </c>
      <c r="X41">
        <v>2021</v>
      </c>
      <c r="Y41"/>
      <c r="Z41"/>
      <c r="AB41">
        <v>2023</v>
      </c>
      <c r="AE41" t="s">
        <v>110</v>
      </c>
      <c r="AF41">
        <v>2021</v>
      </c>
      <c r="AH41" t="s">
        <v>291</v>
      </c>
      <c r="AI41">
        <v>2021</v>
      </c>
      <c r="AY41" t="s">
        <v>109</v>
      </c>
      <c r="AZ41">
        <v>2021</v>
      </c>
    </row>
    <row r="42" spans="1:58" x14ac:dyDescent="0.2">
      <c r="A42" t="s">
        <v>103</v>
      </c>
      <c r="B42" t="s">
        <v>103</v>
      </c>
      <c r="C42" s="5">
        <v>45460</v>
      </c>
      <c r="D42" t="s">
        <v>81</v>
      </c>
      <c r="E42" t="s">
        <v>90</v>
      </c>
      <c r="F42" t="s">
        <v>83</v>
      </c>
      <c r="G42" t="s">
        <v>395</v>
      </c>
      <c r="H42" t="s">
        <v>396</v>
      </c>
      <c r="I42" t="s">
        <v>85</v>
      </c>
      <c r="J42" t="s">
        <v>93</v>
      </c>
      <c r="K42" t="s">
        <v>397</v>
      </c>
      <c r="L42" t="s">
        <v>95</v>
      </c>
      <c r="M42">
        <v>23655</v>
      </c>
      <c r="N42" t="s">
        <v>105</v>
      </c>
      <c r="O42" t="s">
        <v>398</v>
      </c>
      <c r="P42" t="s">
        <v>107</v>
      </c>
      <c r="Q42" s="2">
        <v>300534060529220</v>
      </c>
      <c r="R42" s="3" t="s">
        <v>98</v>
      </c>
      <c r="S42" s="6">
        <v>244326</v>
      </c>
      <c r="T42" s="1">
        <v>2024</v>
      </c>
      <c r="U42" t="s">
        <v>99</v>
      </c>
      <c r="V42">
        <v>2024</v>
      </c>
      <c r="Y42"/>
      <c r="Z42"/>
      <c r="AJ42">
        <v>2024</v>
      </c>
      <c r="AK42">
        <v>2024</v>
      </c>
      <c r="AN42">
        <v>2024</v>
      </c>
      <c r="AO42">
        <v>2024</v>
      </c>
      <c r="AP42" t="s">
        <v>110</v>
      </c>
      <c r="AQ42">
        <v>2021</v>
      </c>
      <c r="AT42">
        <v>2024</v>
      </c>
      <c r="AY42" t="s">
        <v>111</v>
      </c>
      <c r="AZ42">
        <v>2024</v>
      </c>
      <c r="BE42" t="s">
        <v>399</v>
      </c>
    </row>
    <row r="43" spans="1:58" x14ac:dyDescent="0.2">
      <c r="A43" t="s">
        <v>103</v>
      </c>
      <c r="B43" t="s">
        <v>103</v>
      </c>
      <c r="C43" s="5">
        <v>45822</v>
      </c>
      <c r="D43" t="s">
        <v>81</v>
      </c>
      <c r="E43" t="s">
        <v>90</v>
      </c>
      <c r="F43" t="s">
        <v>83</v>
      </c>
      <c r="G43" t="s">
        <v>91</v>
      </c>
      <c r="I43" t="s">
        <v>85</v>
      </c>
      <c r="J43" t="s">
        <v>93</v>
      </c>
      <c r="K43" t="s">
        <v>104</v>
      </c>
      <c r="L43" t="s">
        <v>95</v>
      </c>
      <c r="M43">
        <v>35446</v>
      </c>
      <c r="N43" t="s">
        <v>105</v>
      </c>
      <c r="O43" t="s">
        <v>106</v>
      </c>
      <c r="P43" t="s">
        <v>107</v>
      </c>
      <c r="Q43" s="2">
        <v>300534065151610</v>
      </c>
      <c r="R43" s="3" t="s">
        <v>98</v>
      </c>
      <c r="S43" s="6">
        <v>244326</v>
      </c>
      <c r="T43" s="1">
        <v>2024</v>
      </c>
      <c r="U43" t="s">
        <v>99</v>
      </c>
      <c r="V43">
        <v>2025</v>
      </c>
      <c r="W43" t="s">
        <v>108</v>
      </c>
      <c r="X43">
        <v>2025</v>
      </c>
      <c r="Y43"/>
      <c r="Z43"/>
      <c r="AJ43">
        <v>2025</v>
      </c>
      <c r="AK43">
        <v>2025</v>
      </c>
      <c r="AN43">
        <v>2024</v>
      </c>
      <c r="AO43">
        <v>2024</v>
      </c>
      <c r="AP43" t="s">
        <v>110</v>
      </c>
      <c r="AQ43">
        <v>2021</v>
      </c>
      <c r="AR43" t="s">
        <v>110</v>
      </c>
      <c r="AS43">
        <v>2025</v>
      </c>
      <c r="AT43">
        <v>2025</v>
      </c>
      <c r="AY43" t="s">
        <v>111</v>
      </c>
      <c r="AZ43">
        <v>2024</v>
      </c>
    </row>
    <row r="44" spans="1:58" x14ac:dyDescent="0.2">
      <c r="A44" t="s">
        <v>103</v>
      </c>
      <c r="B44" t="s">
        <v>103</v>
      </c>
      <c r="C44" s="5">
        <v>46189</v>
      </c>
      <c r="D44" t="s">
        <v>81</v>
      </c>
      <c r="E44" t="s">
        <v>90</v>
      </c>
      <c r="F44" t="s">
        <v>83</v>
      </c>
      <c r="G44" t="s">
        <v>91</v>
      </c>
      <c r="I44" t="s">
        <v>85</v>
      </c>
      <c r="J44" t="s">
        <v>93</v>
      </c>
      <c r="K44" t="s">
        <v>104</v>
      </c>
      <c r="L44" t="s">
        <v>95</v>
      </c>
      <c r="M44">
        <v>35446</v>
      </c>
      <c r="N44" t="s">
        <v>105</v>
      </c>
      <c r="O44" t="s">
        <v>106</v>
      </c>
      <c r="P44" t="s">
        <v>107</v>
      </c>
      <c r="Q44" s="2">
        <v>300534065151610</v>
      </c>
      <c r="R44" s="3" t="s">
        <v>98</v>
      </c>
      <c r="S44" s="6">
        <v>244326</v>
      </c>
      <c r="T44" s="1">
        <v>2024</v>
      </c>
      <c r="U44" t="s">
        <v>99</v>
      </c>
      <c r="V44">
        <v>2025</v>
      </c>
      <c r="W44" t="s">
        <v>108</v>
      </c>
      <c r="X44">
        <v>2026</v>
      </c>
      <c r="Y44"/>
      <c r="Z44"/>
      <c r="AJ44">
        <v>2026</v>
      </c>
      <c r="AK44">
        <v>2026</v>
      </c>
      <c r="AL44" t="s">
        <v>109</v>
      </c>
      <c r="AN44">
        <v>2024</v>
      </c>
      <c r="AO44">
        <v>2026</v>
      </c>
      <c r="AP44" t="s">
        <v>110</v>
      </c>
      <c r="AQ44">
        <v>2021</v>
      </c>
      <c r="AR44" t="s">
        <v>110</v>
      </c>
      <c r="AS44">
        <v>2026</v>
      </c>
      <c r="AT44">
        <v>2025</v>
      </c>
      <c r="AY44" t="s">
        <v>111</v>
      </c>
      <c r="AZ44">
        <v>2025</v>
      </c>
    </row>
    <row r="45" spans="1:58" x14ac:dyDescent="0.2">
      <c r="A45" t="s">
        <v>204</v>
      </c>
      <c r="B45" t="s">
        <v>204</v>
      </c>
      <c r="C45" s="5">
        <v>44404</v>
      </c>
      <c r="D45" t="s">
        <v>81</v>
      </c>
      <c r="E45" t="s">
        <v>90</v>
      </c>
      <c r="F45" t="s">
        <v>205</v>
      </c>
      <c r="G45" t="s">
        <v>206</v>
      </c>
      <c r="I45" t="s">
        <v>207</v>
      </c>
      <c r="J45" t="s">
        <v>86</v>
      </c>
      <c r="K45" t="s">
        <v>208</v>
      </c>
      <c r="L45" t="s">
        <v>209</v>
      </c>
      <c r="M45" t="s">
        <v>210</v>
      </c>
      <c r="N45" t="s">
        <v>211</v>
      </c>
      <c r="O45" t="s">
        <v>494</v>
      </c>
      <c r="P45" t="s">
        <v>213</v>
      </c>
      <c r="Q45" s="2">
        <v>300234061852400</v>
      </c>
      <c r="R45" s="3" t="s">
        <v>214</v>
      </c>
      <c r="S45" s="6" t="s">
        <v>504</v>
      </c>
      <c r="T45" s="1">
        <v>2014</v>
      </c>
      <c r="U45" t="s">
        <v>99</v>
      </c>
      <c r="V45">
        <v>2016</v>
      </c>
      <c r="W45" t="s">
        <v>216</v>
      </c>
      <c r="X45">
        <v>2017</v>
      </c>
      <c r="Y45" t="s">
        <v>217</v>
      </c>
      <c r="Z45" t="s">
        <v>109</v>
      </c>
      <c r="AA45">
        <v>2021</v>
      </c>
      <c r="AB45">
        <v>2021</v>
      </c>
      <c r="AD45" t="s">
        <v>109</v>
      </c>
      <c r="AE45" t="s">
        <v>110</v>
      </c>
      <c r="AF45">
        <v>2021</v>
      </c>
      <c r="AG45">
        <v>2021</v>
      </c>
      <c r="AH45" t="s">
        <v>218</v>
      </c>
      <c r="AI45">
        <v>2021</v>
      </c>
      <c r="AT45">
        <v>2016</v>
      </c>
      <c r="AY45" t="s">
        <v>109</v>
      </c>
      <c r="AZ45">
        <v>2021</v>
      </c>
      <c r="BE45" t="s">
        <v>505</v>
      </c>
    </row>
    <row r="46" spans="1:58" x14ac:dyDescent="0.2">
      <c r="A46" t="s">
        <v>204</v>
      </c>
      <c r="B46" t="s">
        <v>204</v>
      </c>
      <c r="C46" s="5">
        <v>44675</v>
      </c>
      <c r="D46" t="s">
        <v>81</v>
      </c>
      <c r="E46" t="s">
        <v>90</v>
      </c>
      <c r="F46" t="s">
        <v>205</v>
      </c>
      <c r="G46" t="s">
        <v>206</v>
      </c>
      <c r="I46" t="s">
        <v>207</v>
      </c>
      <c r="J46" t="s">
        <v>168</v>
      </c>
      <c r="K46" t="s">
        <v>208</v>
      </c>
      <c r="L46" t="s">
        <v>209</v>
      </c>
      <c r="M46" t="s">
        <v>210</v>
      </c>
      <c r="N46" t="s">
        <v>211</v>
      </c>
      <c r="O46" t="s">
        <v>494</v>
      </c>
      <c r="P46" t="s">
        <v>213</v>
      </c>
      <c r="Q46" s="2">
        <v>300234061852400</v>
      </c>
      <c r="R46" s="3" t="s">
        <v>214</v>
      </c>
      <c r="S46" s="6" t="s">
        <v>215</v>
      </c>
      <c r="T46" s="1">
        <v>2021</v>
      </c>
      <c r="U46" t="s">
        <v>99</v>
      </c>
      <c r="V46">
        <v>2016</v>
      </c>
      <c r="W46" t="s">
        <v>216</v>
      </c>
      <c r="X46">
        <v>2017</v>
      </c>
      <c r="Y46" t="s">
        <v>217</v>
      </c>
      <c r="Z46">
        <v>2022</v>
      </c>
      <c r="AA46">
        <v>2022</v>
      </c>
      <c r="AB46">
        <v>2022</v>
      </c>
      <c r="AD46">
        <v>5054</v>
      </c>
      <c r="AE46" t="s">
        <v>110</v>
      </c>
      <c r="AF46">
        <v>2021</v>
      </c>
      <c r="AG46">
        <v>2021</v>
      </c>
      <c r="AH46" t="s">
        <v>218</v>
      </c>
      <c r="AI46">
        <v>2021</v>
      </c>
      <c r="AT46">
        <v>2016</v>
      </c>
      <c r="AY46" t="s">
        <v>109</v>
      </c>
      <c r="AZ46">
        <v>2021</v>
      </c>
    </row>
    <row r="47" spans="1:58" x14ac:dyDescent="0.2">
      <c r="A47" t="s">
        <v>204</v>
      </c>
      <c r="B47" t="s">
        <v>204</v>
      </c>
      <c r="C47" s="5">
        <v>45045</v>
      </c>
      <c r="D47" t="s">
        <v>81</v>
      </c>
      <c r="E47" t="s">
        <v>90</v>
      </c>
      <c r="F47" t="s">
        <v>205</v>
      </c>
      <c r="G47" t="s">
        <v>206</v>
      </c>
      <c r="I47" t="s">
        <v>207</v>
      </c>
      <c r="J47" t="s">
        <v>168</v>
      </c>
      <c r="K47" t="s">
        <v>208</v>
      </c>
      <c r="L47" t="s">
        <v>209</v>
      </c>
      <c r="M47" t="s">
        <v>210</v>
      </c>
      <c r="N47" t="s">
        <v>211</v>
      </c>
      <c r="O47" t="s">
        <v>212</v>
      </c>
      <c r="P47" t="s">
        <v>213</v>
      </c>
      <c r="Q47" s="2">
        <v>300234061852400</v>
      </c>
      <c r="R47" s="3" t="s">
        <v>214</v>
      </c>
      <c r="S47" s="6" t="s">
        <v>215</v>
      </c>
      <c r="T47" s="1">
        <v>2021</v>
      </c>
      <c r="U47" t="s">
        <v>99</v>
      </c>
      <c r="V47">
        <v>2016</v>
      </c>
      <c r="W47" t="s">
        <v>216</v>
      </c>
      <c r="X47">
        <v>2017</v>
      </c>
      <c r="Y47" t="s">
        <v>217</v>
      </c>
      <c r="Z47">
        <v>2022</v>
      </c>
      <c r="AA47">
        <v>2023</v>
      </c>
      <c r="AB47">
        <v>2023</v>
      </c>
      <c r="AD47">
        <v>5054</v>
      </c>
      <c r="AE47" t="s">
        <v>110</v>
      </c>
      <c r="AF47">
        <v>2021</v>
      </c>
      <c r="AG47">
        <v>2021</v>
      </c>
      <c r="AH47" t="s">
        <v>218</v>
      </c>
      <c r="AI47">
        <v>2021</v>
      </c>
      <c r="AT47">
        <v>2016</v>
      </c>
      <c r="AY47" t="s">
        <v>109</v>
      </c>
      <c r="AZ47">
        <v>2021</v>
      </c>
    </row>
    <row r="48" spans="1:58" x14ac:dyDescent="0.2">
      <c r="A48" t="s">
        <v>204</v>
      </c>
      <c r="B48" t="s">
        <v>204</v>
      </c>
      <c r="C48" s="5">
        <v>45403</v>
      </c>
      <c r="D48" t="s">
        <v>81</v>
      </c>
      <c r="E48" t="s">
        <v>90</v>
      </c>
      <c r="F48" t="s">
        <v>205</v>
      </c>
      <c r="G48" t="s">
        <v>206</v>
      </c>
      <c r="I48" t="s">
        <v>207</v>
      </c>
      <c r="J48" t="s">
        <v>168</v>
      </c>
      <c r="K48" t="s">
        <v>208</v>
      </c>
      <c r="L48" t="s">
        <v>209</v>
      </c>
      <c r="M48" t="s">
        <v>210</v>
      </c>
      <c r="N48" t="s">
        <v>211</v>
      </c>
      <c r="O48" t="s">
        <v>212</v>
      </c>
      <c r="P48" t="s">
        <v>213</v>
      </c>
      <c r="Q48" s="2">
        <v>300234061852400</v>
      </c>
      <c r="R48" s="3" t="s">
        <v>214</v>
      </c>
      <c r="S48" s="6" t="s">
        <v>215</v>
      </c>
      <c r="T48" s="1">
        <v>2021</v>
      </c>
      <c r="U48" t="s">
        <v>99</v>
      </c>
      <c r="V48">
        <v>2016</v>
      </c>
      <c r="W48" t="s">
        <v>216</v>
      </c>
      <c r="X48">
        <v>2017</v>
      </c>
      <c r="Y48" t="s">
        <v>217</v>
      </c>
      <c r="Z48">
        <v>2022</v>
      </c>
      <c r="AA48">
        <v>2024</v>
      </c>
      <c r="AB48">
        <v>2024</v>
      </c>
      <c r="AD48">
        <v>5054</v>
      </c>
      <c r="AE48" t="s">
        <v>110</v>
      </c>
      <c r="AF48">
        <v>2021</v>
      </c>
      <c r="AG48">
        <v>2021</v>
      </c>
      <c r="AH48" t="s">
        <v>218</v>
      </c>
      <c r="AI48">
        <v>2021</v>
      </c>
      <c r="AT48">
        <v>2016</v>
      </c>
      <c r="AY48" t="s">
        <v>109</v>
      </c>
      <c r="AZ48">
        <v>2021</v>
      </c>
    </row>
    <row r="49" spans="1:52" x14ac:dyDescent="0.2">
      <c r="A49" t="s">
        <v>204</v>
      </c>
      <c r="B49" t="s">
        <v>204</v>
      </c>
      <c r="C49" s="5">
        <v>45775</v>
      </c>
      <c r="D49" t="s">
        <v>81</v>
      </c>
      <c r="E49" t="s">
        <v>90</v>
      </c>
      <c r="F49" t="s">
        <v>205</v>
      </c>
      <c r="G49" t="s">
        <v>206</v>
      </c>
      <c r="I49" t="s">
        <v>207</v>
      </c>
      <c r="J49" t="s">
        <v>168</v>
      </c>
      <c r="K49" t="s">
        <v>208</v>
      </c>
      <c r="L49" t="s">
        <v>209</v>
      </c>
      <c r="M49" t="s">
        <v>210</v>
      </c>
      <c r="N49" t="s">
        <v>211</v>
      </c>
      <c r="O49" t="s">
        <v>212</v>
      </c>
      <c r="P49" t="s">
        <v>213</v>
      </c>
      <c r="Q49" s="2">
        <v>300234061852400</v>
      </c>
      <c r="R49" s="3" t="s">
        <v>214</v>
      </c>
      <c r="S49" s="6" t="s">
        <v>215</v>
      </c>
      <c r="T49" s="1">
        <v>2021</v>
      </c>
      <c r="U49" t="s">
        <v>99</v>
      </c>
      <c r="V49">
        <v>2016</v>
      </c>
      <c r="W49" t="s">
        <v>216</v>
      </c>
      <c r="X49">
        <v>2017</v>
      </c>
      <c r="Y49" t="s">
        <v>217</v>
      </c>
      <c r="Z49">
        <v>2022</v>
      </c>
      <c r="AA49">
        <v>2025</v>
      </c>
      <c r="AB49">
        <v>2025</v>
      </c>
      <c r="AD49">
        <v>5054</v>
      </c>
      <c r="AE49" t="s">
        <v>110</v>
      </c>
      <c r="AF49">
        <v>2021</v>
      </c>
      <c r="AG49">
        <v>2021</v>
      </c>
      <c r="AH49" t="s">
        <v>218</v>
      </c>
      <c r="AI49">
        <v>2025</v>
      </c>
      <c r="AT49">
        <v>2016</v>
      </c>
      <c r="AY49" t="s">
        <v>109</v>
      </c>
      <c r="AZ49">
        <v>2021</v>
      </c>
    </row>
    <row r="50" spans="1:52" x14ac:dyDescent="0.2">
      <c r="A50" t="s">
        <v>204</v>
      </c>
      <c r="B50" t="s">
        <v>204</v>
      </c>
      <c r="C50" s="5">
        <v>46136</v>
      </c>
      <c r="D50" t="s">
        <v>81</v>
      </c>
      <c r="E50" t="s">
        <v>90</v>
      </c>
      <c r="F50" t="s">
        <v>205</v>
      </c>
      <c r="G50" t="s">
        <v>206</v>
      </c>
      <c r="I50" t="s">
        <v>207</v>
      </c>
      <c r="J50" t="s">
        <v>168</v>
      </c>
      <c r="K50" t="s">
        <v>208</v>
      </c>
      <c r="L50" t="s">
        <v>209</v>
      </c>
      <c r="M50" t="s">
        <v>210</v>
      </c>
      <c r="N50" t="s">
        <v>211</v>
      </c>
      <c r="O50" t="s">
        <v>212</v>
      </c>
      <c r="P50" t="s">
        <v>213</v>
      </c>
      <c r="Q50" s="2">
        <v>300234061852400</v>
      </c>
      <c r="R50" s="3" t="s">
        <v>214</v>
      </c>
      <c r="S50" s="6" t="s">
        <v>215</v>
      </c>
      <c r="T50" s="1">
        <v>2021</v>
      </c>
      <c r="U50" t="s">
        <v>99</v>
      </c>
      <c r="V50">
        <v>2016</v>
      </c>
      <c r="W50" t="s">
        <v>216</v>
      </c>
      <c r="X50">
        <v>2017</v>
      </c>
      <c r="Y50" t="s">
        <v>217</v>
      </c>
      <c r="Z50">
        <v>2022</v>
      </c>
      <c r="AA50">
        <v>2026</v>
      </c>
      <c r="AB50">
        <v>2026</v>
      </c>
      <c r="AD50">
        <v>5054</v>
      </c>
      <c r="AE50" t="s">
        <v>110</v>
      </c>
      <c r="AF50">
        <v>2021</v>
      </c>
      <c r="AG50">
        <v>2021</v>
      </c>
      <c r="AH50" t="s">
        <v>218</v>
      </c>
      <c r="AI50">
        <v>2025</v>
      </c>
      <c r="AT50">
        <v>2016</v>
      </c>
      <c r="AY50" t="s">
        <v>109</v>
      </c>
      <c r="AZ50">
        <v>2021</v>
      </c>
    </row>
    <row r="51" spans="1:52" x14ac:dyDescent="0.2">
      <c r="A51" t="s">
        <v>147</v>
      </c>
      <c r="B51" t="s">
        <v>147</v>
      </c>
      <c r="C51" s="5">
        <v>44731</v>
      </c>
      <c r="D51" t="s">
        <v>81</v>
      </c>
      <c r="E51" t="s">
        <v>90</v>
      </c>
      <c r="F51" t="s">
        <v>83</v>
      </c>
      <c r="G51" t="s">
        <v>155</v>
      </c>
      <c r="I51" t="s">
        <v>85</v>
      </c>
      <c r="J51" t="s">
        <v>86</v>
      </c>
      <c r="K51" t="s">
        <v>356</v>
      </c>
      <c r="L51" t="s">
        <v>95</v>
      </c>
      <c r="M51">
        <v>31515</v>
      </c>
      <c r="N51" t="s">
        <v>231</v>
      </c>
      <c r="O51" t="s">
        <v>483</v>
      </c>
      <c r="P51" t="s">
        <v>109</v>
      </c>
      <c r="Q51" s="2">
        <v>300534063814560</v>
      </c>
      <c r="R51" s="3" t="s">
        <v>98</v>
      </c>
      <c r="S51" s="6">
        <v>213256</v>
      </c>
      <c r="T51" s="1" t="s">
        <v>109</v>
      </c>
      <c r="W51" t="s">
        <v>403</v>
      </c>
      <c r="X51">
        <v>2022</v>
      </c>
      <c r="Y51"/>
      <c r="Z51"/>
      <c r="AJ51">
        <v>2022</v>
      </c>
      <c r="AK51">
        <v>2022</v>
      </c>
      <c r="AP51" t="s">
        <v>110</v>
      </c>
      <c r="AQ51">
        <v>2022</v>
      </c>
      <c r="AR51" t="s">
        <v>110</v>
      </c>
      <c r="AS51">
        <v>2022</v>
      </c>
      <c r="AT51">
        <v>2022</v>
      </c>
      <c r="AY51" t="s">
        <v>109</v>
      </c>
      <c r="AZ51">
        <v>2022</v>
      </c>
    </row>
    <row r="52" spans="1:52" x14ac:dyDescent="0.2">
      <c r="A52" t="s">
        <v>147</v>
      </c>
      <c r="B52" t="s">
        <v>147</v>
      </c>
      <c r="C52" s="5">
        <v>45107</v>
      </c>
      <c r="D52" t="s">
        <v>81</v>
      </c>
      <c r="E52" t="s">
        <v>90</v>
      </c>
      <c r="F52" t="s">
        <v>83</v>
      </c>
      <c r="G52" t="s">
        <v>155</v>
      </c>
      <c r="I52" t="s">
        <v>85</v>
      </c>
      <c r="J52" t="s">
        <v>93</v>
      </c>
      <c r="K52" t="s">
        <v>356</v>
      </c>
      <c r="L52" t="s">
        <v>95</v>
      </c>
      <c r="M52">
        <v>31515</v>
      </c>
      <c r="N52" t="s">
        <v>231</v>
      </c>
      <c r="O52" t="s">
        <v>432</v>
      </c>
      <c r="P52" t="s">
        <v>109</v>
      </c>
      <c r="Q52" s="2">
        <v>300534063814560</v>
      </c>
      <c r="R52" s="3" t="s">
        <v>98</v>
      </c>
      <c r="S52" s="6">
        <v>213256</v>
      </c>
      <c r="T52" s="1" t="s">
        <v>109</v>
      </c>
      <c r="W52" t="s">
        <v>403</v>
      </c>
      <c r="X52">
        <v>2022</v>
      </c>
      <c r="Y52"/>
      <c r="Z52"/>
      <c r="AJ52">
        <v>2022</v>
      </c>
      <c r="AK52">
        <v>2023</v>
      </c>
      <c r="AP52" t="s">
        <v>110</v>
      </c>
      <c r="AQ52">
        <v>2022</v>
      </c>
      <c r="AR52" t="s">
        <v>110</v>
      </c>
      <c r="AS52">
        <v>2022</v>
      </c>
      <c r="AT52">
        <v>2022</v>
      </c>
      <c r="AY52" t="s">
        <v>111</v>
      </c>
      <c r="AZ52">
        <v>2023</v>
      </c>
    </row>
    <row r="53" spans="1:52" x14ac:dyDescent="0.2">
      <c r="A53" t="s">
        <v>147</v>
      </c>
      <c r="B53" t="s">
        <v>147</v>
      </c>
      <c r="C53" s="5">
        <v>45433</v>
      </c>
      <c r="D53" t="s">
        <v>81</v>
      </c>
      <c r="E53" t="s">
        <v>90</v>
      </c>
      <c r="F53" t="s">
        <v>83</v>
      </c>
      <c r="G53" t="s">
        <v>91</v>
      </c>
      <c r="I53" t="s">
        <v>85</v>
      </c>
      <c r="J53" t="s">
        <v>93</v>
      </c>
      <c r="K53" t="s">
        <v>332</v>
      </c>
      <c r="L53" t="s">
        <v>95</v>
      </c>
      <c r="M53">
        <v>23810</v>
      </c>
      <c r="N53" t="s">
        <v>105</v>
      </c>
      <c r="O53" t="s">
        <v>97</v>
      </c>
      <c r="P53" t="s">
        <v>107</v>
      </c>
      <c r="Q53" s="2">
        <v>300534063814560</v>
      </c>
      <c r="R53" s="3" t="s">
        <v>98</v>
      </c>
      <c r="S53" s="6">
        <v>110561</v>
      </c>
      <c r="T53" s="1">
        <v>2023</v>
      </c>
      <c r="U53" t="s">
        <v>99</v>
      </c>
      <c r="V53">
        <v>2024</v>
      </c>
      <c r="W53" t="s">
        <v>108</v>
      </c>
      <c r="X53">
        <v>2024</v>
      </c>
      <c r="Y53"/>
      <c r="Z53"/>
      <c r="AJ53">
        <v>2024</v>
      </c>
      <c r="AK53">
        <v>2024</v>
      </c>
      <c r="AN53">
        <v>2024</v>
      </c>
      <c r="AO53">
        <v>2024</v>
      </c>
      <c r="AP53" t="s">
        <v>110</v>
      </c>
      <c r="AQ53">
        <v>2022</v>
      </c>
      <c r="AR53" t="s">
        <v>110</v>
      </c>
      <c r="AS53">
        <v>2022</v>
      </c>
      <c r="AT53">
        <v>2022</v>
      </c>
      <c r="AY53" t="s">
        <v>111</v>
      </c>
      <c r="AZ53">
        <v>2023</v>
      </c>
    </row>
    <row r="54" spans="1:52" x14ac:dyDescent="0.2">
      <c r="A54" t="s">
        <v>147</v>
      </c>
      <c r="B54" t="s">
        <v>147</v>
      </c>
      <c r="C54" s="5">
        <v>45816</v>
      </c>
      <c r="D54" t="s">
        <v>81</v>
      </c>
      <c r="E54" t="s">
        <v>90</v>
      </c>
      <c r="F54" t="s">
        <v>83</v>
      </c>
      <c r="G54" t="s">
        <v>91</v>
      </c>
      <c r="I54" t="s">
        <v>85</v>
      </c>
      <c r="J54" t="s">
        <v>93</v>
      </c>
      <c r="K54" t="s">
        <v>332</v>
      </c>
      <c r="L54" t="s">
        <v>95</v>
      </c>
      <c r="M54">
        <v>23810</v>
      </c>
      <c r="N54" t="s">
        <v>105</v>
      </c>
      <c r="O54" t="s">
        <v>97</v>
      </c>
      <c r="P54" t="s">
        <v>107</v>
      </c>
      <c r="Q54" s="2">
        <v>300534063814560</v>
      </c>
      <c r="R54" s="3" t="s">
        <v>98</v>
      </c>
      <c r="S54" s="6">
        <v>110561</v>
      </c>
      <c r="T54" s="1">
        <v>2023</v>
      </c>
      <c r="U54" t="s">
        <v>99</v>
      </c>
      <c r="V54">
        <v>2024</v>
      </c>
      <c r="W54" t="s">
        <v>108</v>
      </c>
      <c r="X54">
        <v>2025</v>
      </c>
      <c r="Y54"/>
      <c r="Z54"/>
      <c r="AJ54">
        <v>2025</v>
      </c>
      <c r="AK54">
        <v>2025</v>
      </c>
      <c r="AN54">
        <v>2024</v>
      </c>
      <c r="AO54">
        <v>2024</v>
      </c>
      <c r="AP54" t="s">
        <v>110</v>
      </c>
      <c r="AQ54">
        <v>2025</v>
      </c>
      <c r="AR54" t="s">
        <v>110</v>
      </c>
      <c r="AS54">
        <v>2025</v>
      </c>
      <c r="AT54">
        <v>2022</v>
      </c>
      <c r="AY54" t="s">
        <v>111</v>
      </c>
      <c r="AZ54">
        <v>2023</v>
      </c>
    </row>
    <row r="55" spans="1:52" hidden="1" x14ac:dyDescent="0.2">
      <c r="A55" t="s">
        <v>338</v>
      </c>
      <c r="B55" t="s">
        <v>147</v>
      </c>
      <c r="C55" s="5">
        <v>34872</v>
      </c>
      <c r="D55" t="s">
        <v>81</v>
      </c>
      <c r="E55" t="s">
        <v>82</v>
      </c>
      <c r="F55" t="s">
        <v>83</v>
      </c>
      <c r="G55" t="s">
        <v>84</v>
      </c>
      <c r="I55" t="s">
        <v>85</v>
      </c>
      <c r="J55" t="s">
        <v>86</v>
      </c>
      <c r="Y55"/>
      <c r="Z55"/>
    </row>
    <row r="56" spans="1:52" hidden="1" x14ac:dyDescent="0.2">
      <c r="A56" t="s">
        <v>338</v>
      </c>
      <c r="B56" t="s">
        <v>147</v>
      </c>
      <c r="C56" s="5">
        <v>44731</v>
      </c>
      <c r="D56" t="s">
        <v>81</v>
      </c>
      <c r="E56" t="s">
        <v>82</v>
      </c>
      <c r="F56" t="s">
        <v>83</v>
      </c>
      <c r="G56" t="s">
        <v>84</v>
      </c>
      <c r="I56" t="s">
        <v>85</v>
      </c>
      <c r="J56" t="s">
        <v>88</v>
      </c>
      <c r="Y56"/>
      <c r="Z56"/>
    </row>
    <row r="57" spans="1:52" hidden="1" x14ac:dyDescent="0.2">
      <c r="A57" t="s">
        <v>339</v>
      </c>
      <c r="B57" t="s">
        <v>340</v>
      </c>
      <c r="C57" s="5">
        <v>44776</v>
      </c>
      <c r="D57" t="s">
        <v>81</v>
      </c>
      <c r="E57" t="s">
        <v>82</v>
      </c>
      <c r="F57" t="s">
        <v>83</v>
      </c>
      <c r="G57" t="s">
        <v>228</v>
      </c>
      <c r="H57" t="s">
        <v>341</v>
      </c>
      <c r="I57" t="s">
        <v>230</v>
      </c>
      <c r="J57" t="s">
        <v>93</v>
      </c>
      <c r="L57" t="s">
        <v>95</v>
      </c>
      <c r="O57" t="s">
        <v>342</v>
      </c>
      <c r="Q57" s="2">
        <v>300534060520350</v>
      </c>
      <c r="R57" s="3" t="s">
        <v>98</v>
      </c>
      <c r="S57" s="6" t="s">
        <v>343</v>
      </c>
      <c r="T57" s="1">
        <v>2020</v>
      </c>
      <c r="W57" t="s">
        <v>216</v>
      </c>
      <c r="Y57" t="s">
        <v>217</v>
      </c>
      <c r="Z57" t="s">
        <v>344</v>
      </c>
      <c r="AA57">
        <v>2022</v>
      </c>
      <c r="AB57">
        <v>2022</v>
      </c>
      <c r="AD57">
        <v>50184</v>
      </c>
      <c r="AE57" t="s">
        <v>110</v>
      </c>
      <c r="AF57">
        <v>2022</v>
      </c>
      <c r="AY57" t="s">
        <v>246</v>
      </c>
      <c r="AZ57">
        <v>2022</v>
      </c>
    </row>
    <row r="58" spans="1:52" hidden="1" x14ac:dyDescent="0.2">
      <c r="A58" t="s">
        <v>339</v>
      </c>
      <c r="B58" t="s">
        <v>340</v>
      </c>
      <c r="C58" s="5">
        <v>44728</v>
      </c>
      <c r="D58" t="s">
        <v>81</v>
      </c>
      <c r="E58" t="s">
        <v>82</v>
      </c>
      <c r="F58" t="s">
        <v>83</v>
      </c>
      <c r="G58" t="s">
        <v>228</v>
      </c>
      <c r="H58" t="s">
        <v>341</v>
      </c>
      <c r="I58" t="s">
        <v>230</v>
      </c>
      <c r="J58" t="s">
        <v>93</v>
      </c>
      <c r="L58" t="s">
        <v>95</v>
      </c>
      <c r="O58" t="s">
        <v>342</v>
      </c>
      <c r="Q58" s="2">
        <v>300534060520350</v>
      </c>
      <c r="R58" s="3" t="s">
        <v>98</v>
      </c>
      <c r="S58" s="6" t="s">
        <v>343</v>
      </c>
      <c r="T58" s="1">
        <v>2020</v>
      </c>
      <c r="W58" t="s">
        <v>216</v>
      </c>
      <c r="Y58" t="s">
        <v>217</v>
      </c>
      <c r="Z58" t="s">
        <v>344</v>
      </c>
      <c r="AA58">
        <v>2021</v>
      </c>
      <c r="AB58">
        <v>2021</v>
      </c>
      <c r="AD58">
        <v>50184</v>
      </c>
    </row>
    <row r="59" spans="1:52" hidden="1" x14ac:dyDescent="0.2">
      <c r="A59" t="s">
        <v>339</v>
      </c>
      <c r="B59" t="s">
        <v>340</v>
      </c>
      <c r="C59" s="5">
        <v>35235</v>
      </c>
      <c r="D59" t="s">
        <v>81</v>
      </c>
      <c r="E59" t="s">
        <v>82</v>
      </c>
      <c r="F59" t="s">
        <v>83</v>
      </c>
      <c r="G59" t="s">
        <v>84</v>
      </c>
      <c r="I59" t="s">
        <v>230</v>
      </c>
      <c r="J59" t="s">
        <v>86</v>
      </c>
    </row>
    <row r="60" spans="1:52" x14ac:dyDescent="0.2">
      <c r="A60" t="s">
        <v>147</v>
      </c>
      <c r="B60" t="s">
        <v>147</v>
      </c>
      <c r="C60" s="5">
        <v>46179</v>
      </c>
      <c r="D60" t="s">
        <v>81</v>
      </c>
      <c r="E60" t="s">
        <v>90</v>
      </c>
      <c r="F60" t="s">
        <v>83</v>
      </c>
      <c r="G60" t="s">
        <v>91</v>
      </c>
      <c r="I60" t="s">
        <v>85</v>
      </c>
      <c r="J60" t="s">
        <v>93</v>
      </c>
      <c r="K60" t="s">
        <v>148</v>
      </c>
      <c r="L60" t="s">
        <v>95</v>
      </c>
      <c r="M60">
        <v>10317</v>
      </c>
      <c r="N60" t="s">
        <v>149</v>
      </c>
      <c r="O60" t="s">
        <v>97</v>
      </c>
      <c r="P60" t="s">
        <v>150</v>
      </c>
      <c r="Q60" s="2">
        <v>300534063814560</v>
      </c>
      <c r="R60" s="3" t="s">
        <v>98</v>
      </c>
      <c r="S60" s="6" t="s">
        <v>151</v>
      </c>
      <c r="T60" s="1">
        <v>2026</v>
      </c>
      <c r="U60" t="s">
        <v>99</v>
      </c>
      <c r="V60">
        <v>2026</v>
      </c>
      <c r="W60" t="s">
        <v>108</v>
      </c>
      <c r="X60">
        <v>2025</v>
      </c>
      <c r="AJ60">
        <v>2026</v>
      </c>
      <c r="AK60">
        <v>2026</v>
      </c>
      <c r="AL60">
        <v>2026</v>
      </c>
      <c r="AN60">
        <v>2024</v>
      </c>
      <c r="AO60">
        <v>2024</v>
      </c>
      <c r="AP60" t="s">
        <v>110</v>
      </c>
      <c r="AQ60">
        <v>2025</v>
      </c>
      <c r="AR60" t="s">
        <v>110</v>
      </c>
      <c r="AS60">
        <v>2025</v>
      </c>
      <c r="AT60">
        <v>2022</v>
      </c>
      <c r="AY60" t="s">
        <v>111</v>
      </c>
      <c r="AZ60">
        <v>2023</v>
      </c>
    </row>
    <row r="61" spans="1:52" x14ac:dyDescent="0.2">
      <c r="A61" t="s">
        <v>311</v>
      </c>
      <c r="B61" t="s">
        <v>312</v>
      </c>
      <c r="C61" s="5">
        <v>44776</v>
      </c>
      <c r="D61" t="s">
        <v>81</v>
      </c>
      <c r="E61" t="s">
        <v>90</v>
      </c>
      <c r="F61" t="s">
        <v>83</v>
      </c>
      <c r="G61" t="s">
        <v>228</v>
      </c>
      <c r="H61" t="s">
        <v>313</v>
      </c>
      <c r="I61" t="s">
        <v>230</v>
      </c>
      <c r="J61" t="s">
        <v>86</v>
      </c>
      <c r="K61" t="s">
        <v>134</v>
      </c>
      <c r="L61" t="s">
        <v>95</v>
      </c>
      <c r="M61">
        <v>35293</v>
      </c>
      <c r="N61" t="s">
        <v>364</v>
      </c>
      <c r="O61" t="s">
        <v>478</v>
      </c>
      <c r="P61" t="s">
        <v>280</v>
      </c>
      <c r="Q61" s="2">
        <v>300534063814490</v>
      </c>
      <c r="R61" s="3" t="s">
        <v>98</v>
      </c>
      <c r="S61" s="6" t="s">
        <v>383</v>
      </c>
      <c r="T61" s="1">
        <v>2022</v>
      </c>
      <c r="W61" t="s">
        <v>245</v>
      </c>
      <c r="X61">
        <v>2022</v>
      </c>
      <c r="Y61" t="s">
        <v>217</v>
      </c>
      <c r="Z61">
        <v>2022</v>
      </c>
      <c r="AA61">
        <v>2022</v>
      </c>
      <c r="AB61">
        <v>2022</v>
      </c>
      <c r="AC61">
        <v>2022</v>
      </c>
      <c r="AD61">
        <v>50208</v>
      </c>
      <c r="AE61" t="s">
        <v>110</v>
      </c>
      <c r="AF61">
        <v>2022</v>
      </c>
      <c r="AT61">
        <v>2022</v>
      </c>
      <c r="AY61" t="s">
        <v>246</v>
      </c>
      <c r="AZ61">
        <v>2022</v>
      </c>
    </row>
    <row r="62" spans="1:52" x14ac:dyDescent="0.2">
      <c r="A62" t="s">
        <v>311</v>
      </c>
      <c r="B62" t="s">
        <v>312</v>
      </c>
      <c r="C62" s="5">
        <v>45188</v>
      </c>
      <c r="D62" t="s">
        <v>81</v>
      </c>
      <c r="E62" t="s">
        <v>90</v>
      </c>
      <c r="F62" t="s">
        <v>83</v>
      </c>
      <c r="G62" t="s">
        <v>228</v>
      </c>
      <c r="H62" t="s">
        <v>313</v>
      </c>
      <c r="I62" t="s">
        <v>230</v>
      </c>
      <c r="J62" t="s">
        <v>93</v>
      </c>
      <c r="K62" t="s">
        <v>134</v>
      </c>
      <c r="L62" t="s">
        <v>95</v>
      </c>
      <c r="M62">
        <v>35293</v>
      </c>
      <c r="N62" t="s">
        <v>364</v>
      </c>
      <c r="O62" t="s">
        <v>309</v>
      </c>
      <c r="P62" t="s">
        <v>280</v>
      </c>
      <c r="Q62" s="2">
        <v>300534063814490</v>
      </c>
      <c r="R62" s="3" t="s">
        <v>98</v>
      </c>
      <c r="S62" s="6" t="s">
        <v>383</v>
      </c>
      <c r="T62" s="1">
        <v>2022</v>
      </c>
      <c r="W62" t="s">
        <v>245</v>
      </c>
      <c r="X62">
        <v>2022</v>
      </c>
      <c r="Y62" t="s">
        <v>217</v>
      </c>
      <c r="Z62">
        <v>2022</v>
      </c>
      <c r="AA62">
        <v>2022</v>
      </c>
      <c r="AB62">
        <v>2022</v>
      </c>
      <c r="AC62">
        <v>2022</v>
      </c>
      <c r="AD62">
        <v>50208</v>
      </c>
      <c r="AE62" t="s">
        <v>110</v>
      </c>
      <c r="AF62">
        <v>2022</v>
      </c>
      <c r="AT62">
        <v>2022</v>
      </c>
      <c r="AY62" t="s">
        <v>246</v>
      </c>
      <c r="AZ62">
        <v>2022</v>
      </c>
    </row>
    <row r="63" spans="1:52" x14ac:dyDescent="0.2">
      <c r="A63" t="s">
        <v>311</v>
      </c>
      <c r="B63" t="s">
        <v>312</v>
      </c>
      <c r="C63" s="5">
        <v>45523</v>
      </c>
      <c r="D63" t="s">
        <v>81</v>
      </c>
      <c r="E63" t="s">
        <v>90</v>
      </c>
      <c r="F63" t="s">
        <v>83</v>
      </c>
      <c r="G63" t="s">
        <v>228</v>
      </c>
      <c r="H63" t="s">
        <v>313</v>
      </c>
      <c r="I63" t="s">
        <v>230</v>
      </c>
      <c r="J63" t="s">
        <v>93</v>
      </c>
      <c r="K63" t="s">
        <v>134</v>
      </c>
      <c r="L63" t="s">
        <v>95</v>
      </c>
      <c r="M63">
        <v>35293</v>
      </c>
      <c r="N63" t="s">
        <v>105</v>
      </c>
      <c r="O63" t="s">
        <v>253</v>
      </c>
      <c r="P63" t="s">
        <v>280</v>
      </c>
      <c r="Q63" s="2">
        <v>300534063814490</v>
      </c>
      <c r="R63" s="3" t="s">
        <v>98</v>
      </c>
      <c r="S63" s="6" t="s">
        <v>383</v>
      </c>
      <c r="T63" s="1">
        <v>2022</v>
      </c>
      <c r="W63" t="s">
        <v>245</v>
      </c>
      <c r="X63">
        <v>2022</v>
      </c>
      <c r="Y63" t="s">
        <v>217</v>
      </c>
      <c r="Z63">
        <v>2024</v>
      </c>
      <c r="AA63">
        <v>2024</v>
      </c>
      <c r="AB63">
        <v>2024</v>
      </c>
      <c r="AC63">
        <v>2024</v>
      </c>
      <c r="AD63">
        <v>50204</v>
      </c>
      <c r="AE63" t="s">
        <v>110</v>
      </c>
      <c r="AF63">
        <v>2022</v>
      </c>
      <c r="AT63">
        <v>2022</v>
      </c>
      <c r="AY63" t="s">
        <v>246</v>
      </c>
      <c r="AZ63">
        <v>2022</v>
      </c>
    </row>
    <row r="64" spans="1:52" x14ac:dyDescent="0.2">
      <c r="A64" t="s">
        <v>311</v>
      </c>
      <c r="B64" t="s">
        <v>312</v>
      </c>
      <c r="C64" s="5">
        <v>45889</v>
      </c>
      <c r="D64" t="s">
        <v>81</v>
      </c>
      <c r="E64" t="s">
        <v>90</v>
      </c>
      <c r="F64" t="s">
        <v>83</v>
      </c>
      <c r="G64" t="s">
        <v>228</v>
      </c>
      <c r="H64" t="s">
        <v>313</v>
      </c>
      <c r="I64" t="s">
        <v>230</v>
      </c>
      <c r="J64" t="s">
        <v>93</v>
      </c>
      <c r="K64" t="s">
        <v>134</v>
      </c>
      <c r="L64" t="s">
        <v>95</v>
      </c>
      <c r="M64">
        <v>35293</v>
      </c>
      <c r="N64" t="s">
        <v>105</v>
      </c>
      <c r="O64" t="s">
        <v>253</v>
      </c>
      <c r="P64" t="s">
        <v>280</v>
      </c>
      <c r="Q64" s="2">
        <v>300534063814490</v>
      </c>
      <c r="R64" s="3" t="s">
        <v>98</v>
      </c>
      <c r="S64" s="6">
        <v>171514</v>
      </c>
      <c r="T64" s="1">
        <v>2022</v>
      </c>
      <c r="W64" t="s">
        <v>245</v>
      </c>
      <c r="X64">
        <v>2025</v>
      </c>
      <c r="Y64" t="s">
        <v>217</v>
      </c>
      <c r="Z64">
        <v>2025</v>
      </c>
      <c r="AA64">
        <v>2025</v>
      </c>
      <c r="AB64">
        <v>2025</v>
      </c>
      <c r="AC64">
        <v>2025</v>
      </c>
      <c r="AD64">
        <v>50283</v>
      </c>
      <c r="AE64" t="s">
        <v>110</v>
      </c>
      <c r="AF64">
        <v>2022</v>
      </c>
      <c r="AT64">
        <v>2022</v>
      </c>
      <c r="AY64" t="s">
        <v>246</v>
      </c>
      <c r="AZ64">
        <v>2022</v>
      </c>
    </row>
    <row r="65" spans="1:58" x14ac:dyDescent="0.2">
      <c r="A65" t="s">
        <v>311</v>
      </c>
      <c r="B65" t="s">
        <v>312</v>
      </c>
      <c r="C65" s="5">
        <v>46231</v>
      </c>
      <c r="D65" t="s">
        <v>81</v>
      </c>
      <c r="E65" t="s">
        <v>90</v>
      </c>
      <c r="F65" t="s">
        <v>83</v>
      </c>
      <c r="G65" t="s">
        <v>228</v>
      </c>
      <c r="H65" t="s">
        <v>313</v>
      </c>
      <c r="I65" t="s">
        <v>230</v>
      </c>
      <c r="J65" t="s">
        <v>93</v>
      </c>
      <c r="K65" t="s">
        <v>134</v>
      </c>
      <c r="L65" t="s">
        <v>95</v>
      </c>
      <c r="M65">
        <v>35293</v>
      </c>
      <c r="N65" t="s">
        <v>105</v>
      </c>
      <c r="O65" t="s">
        <v>253</v>
      </c>
      <c r="P65" t="s">
        <v>280</v>
      </c>
      <c r="Q65" s="2">
        <v>300534063814490</v>
      </c>
      <c r="R65" s="3" t="s">
        <v>98</v>
      </c>
      <c r="S65" s="6">
        <v>171514</v>
      </c>
      <c r="T65" s="1">
        <v>2022</v>
      </c>
      <c r="W65" t="s">
        <v>245</v>
      </c>
      <c r="X65">
        <v>2025</v>
      </c>
      <c r="Y65" t="s">
        <v>217</v>
      </c>
      <c r="Z65">
        <v>2025</v>
      </c>
      <c r="AA65">
        <v>2026</v>
      </c>
      <c r="AB65">
        <v>2026</v>
      </c>
      <c r="AC65">
        <v>2026</v>
      </c>
      <c r="AD65">
        <v>50283</v>
      </c>
      <c r="AE65" t="s">
        <v>110</v>
      </c>
      <c r="AT65">
        <v>2022</v>
      </c>
      <c r="AY65" t="s">
        <v>246</v>
      </c>
      <c r="AZ65">
        <v>2022</v>
      </c>
      <c r="BA65" t="s">
        <v>160</v>
      </c>
      <c r="BB65">
        <v>2026</v>
      </c>
      <c r="BF65" t="s">
        <v>676</v>
      </c>
    </row>
    <row r="66" spans="1:58" x14ac:dyDescent="0.2">
      <c r="A66" t="s">
        <v>292</v>
      </c>
      <c r="B66" t="s">
        <v>292</v>
      </c>
      <c r="C66" s="5">
        <v>40646</v>
      </c>
      <c r="D66" t="s">
        <v>81</v>
      </c>
      <c r="E66" t="s">
        <v>90</v>
      </c>
      <c r="F66" t="s">
        <v>250</v>
      </c>
      <c r="G66" t="s">
        <v>293</v>
      </c>
      <c r="I66" t="s">
        <v>294</v>
      </c>
      <c r="J66" t="s">
        <v>86</v>
      </c>
    </row>
    <row r="67" spans="1:58" x14ac:dyDescent="0.2">
      <c r="A67" t="s">
        <v>292</v>
      </c>
      <c r="B67" t="s">
        <v>292</v>
      </c>
      <c r="C67" s="5">
        <v>45158</v>
      </c>
      <c r="D67" t="s">
        <v>81</v>
      </c>
      <c r="E67" t="s">
        <v>90</v>
      </c>
      <c r="F67" t="s">
        <v>250</v>
      </c>
      <c r="G67" t="s">
        <v>293</v>
      </c>
      <c r="I67" t="s">
        <v>294</v>
      </c>
      <c r="J67" t="s">
        <v>168</v>
      </c>
      <c r="K67" t="s">
        <v>208</v>
      </c>
      <c r="L67" t="s">
        <v>209</v>
      </c>
      <c r="M67" t="s">
        <v>295</v>
      </c>
      <c r="N67" t="s">
        <v>124</v>
      </c>
      <c r="O67" t="s">
        <v>296</v>
      </c>
      <c r="P67" t="s">
        <v>109</v>
      </c>
      <c r="Q67" s="2">
        <v>300034012256830</v>
      </c>
      <c r="R67" s="3" t="s">
        <v>214</v>
      </c>
      <c r="S67" s="6">
        <v>202704</v>
      </c>
      <c r="T67" s="1">
        <v>2020</v>
      </c>
      <c r="U67" t="s">
        <v>99</v>
      </c>
      <c r="V67" t="s">
        <v>298</v>
      </c>
      <c r="W67" t="s">
        <v>299</v>
      </c>
      <c r="Y67" s="1" t="s">
        <v>299</v>
      </c>
      <c r="AA67" t="s">
        <v>234</v>
      </c>
      <c r="AB67">
        <v>2023</v>
      </c>
      <c r="AC67" t="s">
        <v>299</v>
      </c>
      <c r="AE67" t="s">
        <v>110</v>
      </c>
      <c r="AF67">
        <v>2021</v>
      </c>
      <c r="AG67" t="s">
        <v>299</v>
      </c>
      <c r="AH67" t="s">
        <v>124</v>
      </c>
      <c r="AI67">
        <v>2023</v>
      </c>
      <c r="AT67">
        <v>2011</v>
      </c>
      <c r="AY67" t="s">
        <v>124</v>
      </c>
      <c r="AZ67">
        <v>2017</v>
      </c>
      <c r="BA67" t="s">
        <v>300</v>
      </c>
      <c r="BB67">
        <v>2014</v>
      </c>
    </row>
    <row r="68" spans="1:58" x14ac:dyDescent="0.2">
      <c r="A68" t="s">
        <v>292</v>
      </c>
      <c r="B68" t="s">
        <v>292</v>
      </c>
      <c r="C68" s="5">
        <v>45526</v>
      </c>
      <c r="D68" t="s">
        <v>81</v>
      </c>
      <c r="E68" t="s">
        <v>90</v>
      </c>
      <c r="F68" t="s">
        <v>250</v>
      </c>
      <c r="G68" t="s">
        <v>293</v>
      </c>
      <c r="I68" t="s">
        <v>294</v>
      </c>
      <c r="J68" t="s">
        <v>168</v>
      </c>
      <c r="K68" t="s">
        <v>208</v>
      </c>
      <c r="L68" t="s">
        <v>209</v>
      </c>
      <c r="M68" t="s">
        <v>295</v>
      </c>
      <c r="N68" t="s">
        <v>124</v>
      </c>
      <c r="O68" t="s">
        <v>296</v>
      </c>
      <c r="P68" t="s">
        <v>109</v>
      </c>
      <c r="Q68" s="2">
        <v>300034012256830</v>
      </c>
      <c r="R68" s="3" t="s">
        <v>269</v>
      </c>
      <c r="S68" s="6" t="s">
        <v>297</v>
      </c>
      <c r="T68" s="1">
        <v>2024</v>
      </c>
      <c r="U68" t="s">
        <v>99</v>
      </c>
      <c r="V68" t="s">
        <v>298</v>
      </c>
      <c r="W68" t="s">
        <v>299</v>
      </c>
      <c r="Y68" s="1" t="s">
        <v>299</v>
      </c>
      <c r="AA68" t="s">
        <v>234</v>
      </c>
      <c r="AB68">
        <v>2024</v>
      </c>
      <c r="AC68" t="s">
        <v>299</v>
      </c>
      <c r="AE68" t="s">
        <v>110</v>
      </c>
      <c r="AF68">
        <v>2024</v>
      </c>
      <c r="AG68" t="s">
        <v>299</v>
      </c>
      <c r="AH68" t="s">
        <v>124</v>
      </c>
      <c r="AI68">
        <v>2024</v>
      </c>
      <c r="AT68">
        <v>2011</v>
      </c>
      <c r="AY68" t="s">
        <v>246</v>
      </c>
      <c r="AZ68">
        <v>2024</v>
      </c>
      <c r="BA68" t="s">
        <v>300</v>
      </c>
      <c r="BB68">
        <v>2014</v>
      </c>
    </row>
    <row r="69" spans="1:58" x14ac:dyDescent="0.2">
      <c r="A69" t="s">
        <v>292</v>
      </c>
      <c r="B69" t="s">
        <v>292</v>
      </c>
      <c r="C69" s="5">
        <v>45900</v>
      </c>
      <c r="D69" t="s">
        <v>81</v>
      </c>
      <c r="E69" t="s">
        <v>90</v>
      </c>
      <c r="F69" t="s">
        <v>250</v>
      </c>
      <c r="G69" t="s">
        <v>293</v>
      </c>
      <c r="I69" t="s">
        <v>294</v>
      </c>
      <c r="J69" t="s">
        <v>168</v>
      </c>
      <c r="K69" t="s">
        <v>208</v>
      </c>
      <c r="L69" t="s">
        <v>209</v>
      </c>
      <c r="M69" t="s">
        <v>295</v>
      </c>
      <c r="N69" t="s">
        <v>124</v>
      </c>
      <c r="O69" t="s">
        <v>296</v>
      </c>
      <c r="P69" t="s">
        <v>109</v>
      </c>
      <c r="Q69" s="2">
        <v>300034012256830</v>
      </c>
      <c r="R69" s="3" t="s">
        <v>269</v>
      </c>
      <c r="S69" s="6" t="s">
        <v>297</v>
      </c>
      <c r="T69" s="1">
        <v>2024</v>
      </c>
      <c r="U69" t="s">
        <v>99</v>
      </c>
      <c r="V69" t="s">
        <v>298</v>
      </c>
      <c r="W69" t="s">
        <v>299</v>
      </c>
      <c r="Y69" s="1" t="s">
        <v>299</v>
      </c>
      <c r="AA69" t="s">
        <v>234</v>
      </c>
      <c r="AB69">
        <v>2025</v>
      </c>
      <c r="AC69" t="s">
        <v>299</v>
      </c>
      <c r="AE69" t="s">
        <v>110</v>
      </c>
      <c r="AF69">
        <v>2024</v>
      </c>
      <c r="AG69" t="s">
        <v>299</v>
      </c>
      <c r="AH69" t="s">
        <v>124</v>
      </c>
      <c r="AI69">
        <v>2024</v>
      </c>
      <c r="AT69">
        <v>2011</v>
      </c>
      <c r="AY69" t="s">
        <v>246</v>
      </c>
      <c r="AZ69">
        <v>2024</v>
      </c>
      <c r="BA69" t="s">
        <v>300</v>
      </c>
      <c r="BB69">
        <v>2014</v>
      </c>
    </row>
    <row r="70" spans="1:58" hidden="1" x14ac:dyDescent="0.2">
      <c r="A70" t="s">
        <v>307</v>
      </c>
      <c r="B70" t="s">
        <v>307</v>
      </c>
      <c r="C70" s="5">
        <v>39692</v>
      </c>
      <c r="D70" t="s">
        <v>81</v>
      </c>
      <c r="E70" t="s">
        <v>82</v>
      </c>
      <c r="F70" t="s">
        <v>250</v>
      </c>
      <c r="G70" t="s">
        <v>250</v>
      </c>
      <c r="I70" t="s">
        <v>230</v>
      </c>
      <c r="J70" t="s">
        <v>86</v>
      </c>
    </row>
    <row r="71" spans="1:58" hidden="1" x14ac:dyDescent="0.2">
      <c r="A71" t="s">
        <v>307</v>
      </c>
      <c r="B71" t="s">
        <v>307</v>
      </c>
      <c r="C71" s="5">
        <v>45528</v>
      </c>
      <c r="D71" t="s">
        <v>81</v>
      </c>
      <c r="E71" t="s">
        <v>82</v>
      </c>
      <c r="F71" t="s">
        <v>250</v>
      </c>
      <c r="G71" t="s">
        <v>206</v>
      </c>
      <c r="I71" t="s">
        <v>230</v>
      </c>
      <c r="J71" t="s">
        <v>88</v>
      </c>
      <c r="BE71" t="s">
        <v>366</v>
      </c>
    </row>
    <row r="72" spans="1:58" x14ac:dyDescent="0.2">
      <c r="A72" t="s">
        <v>306</v>
      </c>
      <c r="B72" t="s">
        <v>307</v>
      </c>
      <c r="C72" s="5">
        <v>45160</v>
      </c>
      <c r="D72" t="s">
        <v>81</v>
      </c>
      <c r="E72" t="s">
        <v>90</v>
      </c>
      <c r="F72" t="s">
        <v>250</v>
      </c>
      <c r="G72" t="s">
        <v>228</v>
      </c>
      <c r="H72" t="s">
        <v>239</v>
      </c>
      <c r="I72" t="s">
        <v>230</v>
      </c>
      <c r="J72" t="s">
        <v>86</v>
      </c>
      <c r="K72" t="s">
        <v>308</v>
      </c>
      <c r="L72" t="s">
        <v>95</v>
      </c>
      <c r="M72">
        <v>13812</v>
      </c>
      <c r="N72" t="s">
        <v>105</v>
      </c>
      <c r="O72" t="s">
        <v>309</v>
      </c>
      <c r="P72" t="s">
        <v>280</v>
      </c>
      <c r="Q72" s="2">
        <v>300534062581000</v>
      </c>
      <c r="R72" s="3" t="s">
        <v>98</v>
      </c>
      <c r="S72" s="6">
        <v>181891</v>
      </c>
      <c r="T72" s="1">
        <v>2023</v>
      </c>
      <c r="W72" t="s">
        <v>245</v>
      </c>
      <c r="X72">
        <v>2023</v>
      </c>
      <c r="Y72" s="1" t="s">
        <v>217</v>
      </c>
      <c r="Z72" s="1">
        <v>2023</v>
      </c>
      <c r="AA72">
        <v>2023</v>
      </c>
      <c r="AB72">
        <v>2023</v>
      </c>
      <c r="AC72">
        <v>2023</v>
      </c>
      <c r="AD72" s="1">
        <v>5029</v>
      </c>
      <c r="AE72" t="s">
        <v>110</v>
      </c>
      <c r="AF72">
        <v>2023</v>
      </c>
      <c r="AT72">
        <v>2023</v>
      </c>
      <c r="AY72" t="s">
        <v>246</v>
      </c>
      <c r="AZ72">
        <v>2023</v>
      </c>
    </row>
    <row r="73" spans="1:58" x14ac:dyDescent="0.2">
      <c r="A73" t="s">
        <v>306</v>
      </c>
      <c r="B73" t="s">
        <v>307</v>
      </c>
      <c r="C73" s="5">
        <v>45527</v>
      </c>
      <c r="D73" t="s">
        <v>81</v>
      </c>
      <c r="E73" t="s">
        <v>90</v>
      </c>
      <c r="F73" t="s">
        <v>250</v>
      </c>
      <c r="G73" t="s">
        <v>228</v>
      </c>
      <c r="H73" t="s">
        <v>239</v>
      </c>
      <c r="I73" t="s">
        <v>230</v>
      </c>
      <c r="J73" t="s">
        <v>168</v>
      </c>
      <c r="K73" t="s">
        <v>308</v>
      </c>
      <c r="L73" t="s">
        <v>95</v>
      </c>
      <c r="M73">
        <v>13812</v>
      </c>
      <c r="N73" t="s">
        <v>105</v>
      </c>
      <c r="O73" t="s">
        <v>309</v>
      </c>
      <c r="P73" t="s">
        <v>280</v>
      </c>
      <c r="Q73" s="2">
        <v>300534062581000</v>
      </c>
      <c r="R73" s="3" t="s">
        <v>98</v>
      </c>
      <c r="S73" s="6">
        <v>181891</v>
      </c>
      <c r="T73" s="1">
        <v>2023</v>
      </c>
      <c r="W73" t="s">
        <v>245</v>
      </c>
      <c r="X73">
        <v>2023</v>
      </c>
      <c r="Y73" s="1" t="s">
        <v>217</v>
      </c>
      <c r="Z73" s="1">
        <v>2023</v>
      </c>
      <c r="AA73">
        <v>2024</v>
      </c>
      <c r="AB73">
        <v>2024</v>
      </c>
      <c r="AC73">
        <v>2024</v>
      </c>
      <c r="AD73">
        <v>5029</v>
      </c>
      <c r="AE73" t="s">
        <v>110</v>
      </c>
      <c r="AF73">
        <v>2023</v>
      </c>
      <c r="AT73">
        <v>2023</v>
      </c>
      <c r="AY73" t="s">
        <v>246</v>
      </c>
      <c r="AZ73">
        <v>2023</v>
      </c>
    </row>
    <row r="74" spans="1:58" x14ac:dyDescent="0.2">
      <c r="A74" t="s">
        <v>306</v>
      </c>
      <c r="B74" t="s">
        <v>307</v>
      </c>
      <c r="C74" s="5">
        <v>45894</v>
      </c>
      <c r="D74" t="s">
        <v>81</v>
      </c>
      <c r="E74" t="s">
        <v>90</v>
      </c>
      <c r="F74" t="s">
        <v>250</v>
      </c>
      <c r="G74" t="s">
        <v>228</v>
      </c>
      <c r="H74" t="s">
        <v>239</v>
      </c>
      <c r="I74" t="s">
        <v>230</v>
      </c>
      <c r="J74" t="s">
        <v>168</v>
      </c>
      <c r="K74" t="s">
        <v>308</v>
      </c>
      <c r="L74" t="s">
        <v>95</v>
      </c>
      <c r="M74">
        <v>13812</v>
      </c>
      <c r="N74" t="s">
        <v>105</v>
      </c>
      <c r="O74" t="s">
        <v>309</v>
      </c>
      <c r="P74" t="s">
        <v>280</v>
      </c>
      <c r="Q74" s="2">
        <v>300534062581000</v>
      </c>
      <c r="R74" s="3" t="s">
        <v>98</v>
      </c>
      <c r="S74" s="6">
        <v>181891</v>
      </c>
      <c r="T74" s="1">
        <v>2023</v>
      </c>
      <c r="W74" t="s">
        <v>245</v>
      </c>
      <c r="X74">
        <v>2025</v>
      </c>
      <c r="Y74" s="1" t="s">
        <v>217</v>
      </c>
      <c r="Z74" s="1">
        <v>2025</v>
      </c>
      <c r="AA74">
        <v>2025</v>
      </c>
      <c r="AB74">
        <v>2025</v>
      </c>
      <c r="AC74">
        <v>2025</v>
      </c>
      <c r="AD74">
        <v>50311</v>
      </c>
      <c r="AE74" t="s">
        <v>110</v>
      </c>
      <c r="AF74">
        <v>2023</v>
      </c>
      <c r="AT74">
        <v>2025</v>
      </c>
      <c r="AY74" t="s">
        <v>246</v>
      </c>
      <c r="AZ74">
        <v>2023</v>
      </c>
      <c r="BF74" t="s">
        <v>310</v>
      </c>
    </row>
    <row r="75" spans="1:58" x14ac:dyDescent="0.2">
      <c r="A75" t="s">
        <v>301</v>
      </c>
      <c r="B75" t="s">
        <v>301</v>
      </c>
      <c r="C75" s="5">
        <v>39693</v>
      </c>
      <c r="D75" t="s">
        <v>81</v>
      </c>
      <c r="E75" t="s">
        <v>90</v>
      </c>
      <c r="F75" t="s">
        <v>250</v>
      </c>
      <c r="J75" t="s">
        <v>86</v>
      </c>
      <c r="BE75" t="s">
        <v>514</v>
      </c>
    </row>
    <row r="76" spans="1:58" x14ac:dyDescent="0.2">
      <c r="A76" t="s">
        <v>301</v>
      </c>
      <c r="B76" t="s">
        <v>301</v>
      </c>
      <c r="C76" s="5">
        <v>45160</v>
      </c>
      <c r="D76" t="s">
        <v>81</v>
      </c>
      <c r="E76" t="s">
        <v>90</v>
      </c>
      <c r="F76" t="s">
        <v>250</v>
      </c>
      <c r="J76" t="s">
        <v>168</v>
      </c>
      <c r="K76" t="s">
        <v>208</v>
      </c>
      <c r="L76" t="s">
        <v>209</v>
      </c>
      <c r="M76">
        <v>10724</v>
      </c>
      <c r="N76" t="s">
        <v>267</v>
      </c>
      <c r="O76" t="s">
        <v>268</v>
      </c>
      <c r="P76" t="s">
        <v>213</v>
      </c>
      <c r="Q76" s="2">
        <v>300534063818810</v>
      </c>
      <c r="R76" s="3" t="s">
        <v>269</v>
      </c>
      <c r="S76" s="6" t="s">
        <v>378</v>
      </c>
      <c r="T76" s="1">
        <v>2021</v>
      </c>
      <c r="U76" t="s">
        <v>99</v>
      </c>
      <c r="V76" s="1">
        <v>2022</v>
      </c>
      <c r="W76" t="s">
        <v>216</v>
      </c>
      <c r="X76">
        <v>2021</v>
      </c>
      <c r="Y76" s="1" t="s">
        <v>217</v>
      </c>
      <c r="Z76" s="1">
        <v>2023</v>
      </c>
      <c r="AA76">
        <v>2023</v>
      </c>
      <c r="AB76">
        <v>2023</v>
      </c>
      <c r="AD76">
        <v>5091</v>
      </c>
      <c r="AE76" t="s">
        <v>110</v>
      </c>
      <c r="AF76">
        <v>2022</v>
      </c>
      <c r="AG76" s="1">
        <v>2022</v>
      </c>
      <c r="AH76" t="s">
        <v>109</v>
      </c>
      <c r="AI76">
        <v>2023</v>
      </c>
      <c r="AT76">
        <v>2014</v>
      </c>
      <c r="AZ76">
        <v>2022</v>
      </c>
    </row>
    <row r="77" spans="1:58" x14ac:dyDescent="0.2">
      <c r="A77" t="s">
        <v>301</v>
      </c>
      <c r="B77" t="s">
        <v>301</v>
      </c>
      <c r="C77" s="5">
        <v>45531</v>
      </c>
      <c r="D77" t="s">
        <v>81</v>
      </c>
      <c r="E77" t="s">
        <v>90</v>
      </c>
      <c r="F77" t="s">
        <v>250</v>
      </c>
      <c r="J77" t="s">
        <v>168</v>
      </c>
      <c r="K77" t="s">
        <v>377</v>
      </c>
      <c r="L77" t="s">
        <v>209</v>
      </c>
      <c r="M77">
        <v>10068</v>
      </c>
      <c r="N77" t="s">
        <v>267</v>
      </c>
      <c r="O77" t="s">
        <v>268</v>
      </c>
      <c r="P77" t="s">
        <v>213</v>
      </c>
      <c r="Q77" s="2">
        <v>300534063818810</v>
      </c>
      <c r="R77" s="3" t="s">
        <v>269</v>
      </c>
      <c r="S77" s="6" t="s">
        <v>378</v>
      </c>
      <c r="T77" s="1">
        <v>2021</v>
      </c>
      <c r="U77" t="s">
        <v>99</v>
      </c>
      <c r="V77" s="1">
        <v>2022</v>
      </c>
      <c r="W77" t="s">
        <v>216</v>
      </c>
      <c r="X77">
        <v>2021</v>
      </c>
      <c r="Y77" s="1" t="s">
        <v>217</v>
      </c>
      <c r="Z77" s="1">
        <v>2023</v>
      </c>
      <c r="AA77">
        <v>2024</v>
      </c>
      <c r="AB77">
        <v>2024</v>
      </c>
      <c r="AD77">
        <v>5091</v>
      </c>
      <c r="AE77" t="s">
        <v>110</v>
      </c>
      <c r="AF77">
        <v>2022</v>
      </c>
      <c r="AG77" s="1">
        <v>2022</v>
      </c>
      <c r="AH77" t="s">
        <v>109</v>
      </c>
      <c r="AI77">
        <v>2023</v>
      </c>
      <c r="AT77">
        <v>2014</v>
      </c>
      <c r="AZ77">
        <v>2022</v>
      </c>
    </row>
    <row r="78" spans="1:58" x14ac:dyDescent="0.2">
      <c r="A78" t="s">
        <v>301</v>
      </c>
      <c r="B78" t="s">
        <v>301</v>
      </c>
      <c r="C78" s="5">
        <v>45895</v>
      </c>
      <c r="D78" t="s">
        <v>81</v>
      </c>
      <c r="E78" t="s">
        <v>90</v>
      </c>
      <c r="F78" t="s">
        <v>250</v>
      </c>
      <c r="G78" t="s">
        <v>302</v>
      </c>
      <c r="J78" t="s">
        <v>168</v>
      </c>
      <c r="K78" t="s">
        <v>303</v>
      </c>
      <c r="L78" t="s">
        <v>209</v>
      </c>
      <c r="M78" t="s">
        <v>304</v>
      </c>
      <c r="N78" t="s">
        <v>267</v>
      </c>
      <c r="O78" t="s">
        <v>268</v>
      </c>
      <c r="P78" t="s">
        <v>213</v>
      </c>
      <c r="Q78" s="2">
        <v>300234061470510</v>
      </c>
      <c r="R78" s="3" t="s">
        <v>269</v>
      </c>
      <c r="S78" s="6" t="s">
        <v>305</v>
      </c>
      <c r="T78" s="1">
        <v>2024</v>
      </c>
      <c r="U78" t="s">
        <v>99</v>
      </c>
      <c r="V78" s="1">
        <v>2022</v>
      </c>
      <c r="W78" t="s">
        <v>216</v>
      </c>
      <c r="X78">
        <v>2021</v>
      </c>
      <c r="Y78" s="1" t="s">
        <v>217</v>
      </c>
      <c r="Z78" s="1">
        <v>2023</v>
      </c>
      <c r="AA78">
        <v>2025</v>
      </c>
      <c r="AB78">
        <v>2025</v>
      </c>
      <c r="AD78">
        <v>5091</v>
      </c>
      <c r="AE78" t="s">
        <v>110</v>
      </c>
      <c r="AF78">
        <v>2025</v>
      </c>
      <c r="AG78" s="1">
        <v>2025</v>
      </c>
      <c r="AH78" t="s">
        <v>109</v>
      </c>
      <c r="AI78">
        <v>2025</v>
      </c>
      <c r="AT78">
        <v>2025</v>
      </c>
      <c r="AZ78">
        <v>2022</v>
      </c>
    </row>
    <row r="79" spans="1:58" x14ac:dyDescent="0.2">
      <c r="A79" t="s">
        <v>248</v>
      </c>
      <c r="B79" t="s">
        <v>249</v>
      </c>
      <c r="C79" s="5">
        <v>45431</v>
      </c>
      <c r="D79" t="s">
        <v>81</v>
      </c>
      <c r="E79" t="s">
        <v>90</v>
      </c>
      <c r="F79" t="s">
        <v>250</v>
      </c>
      <c r="G79" t="s">
        <v>228</v>
      </c>
      <c r="H79" t="s">
        <v>239</v>
      </c>
      <c r="I79" t="s">
        <v>230</v>
      </c>
      <c r="J79" t="s">
        <v>86</v>
      </c>
      <c r="K79" t="s">
        <v>251</v>
      </c>
      <c r="L79" t="s">
        <v>95</v>
      </c>
      <c r="M79">
        <v>55090</v>
      </c>
      <c r="N79" t="s">
        <v>252</v>
      </c>
      <c r="O79" t="s">
        <v>253</v>
      </c>
      <c r="P79" t="s">
        <v>254</v>
      </c>
      <c r="Q79" s="2">
        <v>300534064383800</v>
      </c>
      <c r="R79" s="3" t="s">
        <v>98</v>
      </c>
      <c r="S79" s="6">
        <v>202380</v>
      </c>
      <c r="T79" s="1">
        <v>2023</v>
      </c>
      <c r="W79" t="s">
        <v>245</v>
      </c>
      <c r="X79">
        <v>2024</v>
      </c>
      <c r="Y79" s="1" t="s">
        <v>217</v>
      </c>
      <c r="Z79" s="1">
        <v>2024</v>
      </c>
      <c r="AA79">
        <v>2024</v>
      </c>
      <c r="AB79">
        <v>2024</v>
      </c>
      <c r="AC79">
        <v>2024</v>
      </c>
      <c r="AD79">
        <v>50209</v>
      </c>
      <c r="AE79" t="s">
        <v>110</v>
      </c>
      <c r="AF79">
        <v>2024</v>
      </c>
      <c r="AT79">
        <v>2024</v>
      </c>
      <c r="AY79" t="s">
        <v>246</v>
      </c>
      <c r="AZ79">
        <v>2024</v>
      </c>
    </row>
    <row r="80" spans="1:58" x14ac:dyDescent="0.2">
      <c r="A80" t="s">
        <v>248</v>
      </c>
      <c r="B80" t="s">
        <v>249</v>
      </c>
      <c r="C80" s="5">
        <v>45792</v>
      </c>
      <c r="D80" t="s">
        <v>81</v>
      </c>
      <c r="E80" t="s">
        <v>90</v>
      </c>
      <c r="F80" t="s">
        <v>250</v>
      </c>
      <c r="G80" t="s">
        <v>228</v>
      </c>
      <c r="H80" t="s">
        <v>239</v>
      </c>
      <c r="I80" t="s">
        <v>230</v>
      </c>
      <c r="J80" t="s">
        <v>168</v>
      </c>
      <c r="K80" t="s">
        <v>251</v>
      </c>
      <c r="L80" t="s">
        <v>95</v>
      </c>
      <c r="M80">
        <v>55090</v>
      </c>
      <c r="N80" t="s">
        <v>252</v>
      </c>
      <c r="O80" t="s">
        <v>253</v>
      </c>
      <c r="P80" t="s">
        <v>254</v>
      </c>
      <c r="Q80" s="2">
        <v>300534064383800</v>
      </c>
      <c r="R80" s="3" t="s">
        <v>98</v>
      </c>
      <c r="S80" s="6">
        <v>202380</v>
      </c>
      <c r="T80" s="1">
        <v>2023</v>
      </c>
      <c r="W80" t="s">
        <v>245</v>
      </c>
      <c r="X80">
        <v>2024</v>
      </c>
      <c r="Y80" s="1" t="s">
        <v>217</v>
      </c>
      <c r="Z80" s="1">
        <v>2024</v>
      </c>
      <c r="AA80">
        <v>2024</v>
      </c>
      <c r="AB80">
        <v>2025</v>
      </c>
      <c r="AC80">
        <v>2024</v>
      </c>
      <c r="AD80">
        <v>50209</v>
      </c>
      <c r="AE80" t="s">
        <v>110</v>
      </c>
      <c r="AF80">
        <v>2024</v>
      </c>
      <c r="AT80">
        <v>2024</v>
      </c>
      <c r="AY80" t="s">
        <v>246</v>
      </c>
      <c r="AZ80">
        <v>2024</v>
      </c>
    </row>
    <row r="81" spans="1:58" x14ac:dyDescent="0.2">
      <c r="A81" t="s">
        <v>248</v>
      </c>
      <c r="B81" t="s">
        <v>249</v>
      </c>
      <c r="C81" s="5">
        <v>45893</v>
      </c>
      <c r="D81" t="s">
        <v>81</v>
      </c>
      <c r="E81" t="s">
        <v>90</v>
      </c>
      <c r="F81" t="s">
        <v>250</v>
      </c>
      <c r="G81" t="s">
        <v>228</v>
      </c>
      <c r="H81" t="s">
        <v>239</v>
      </c>
      <c r="I81" t="s">
        <v>230</v>
      </c>
      <c r="J81" t="s">
        <v>168</v>
      </c>
      <c r="K81" t="s">
        <v>251</v>
      </c>
      <c r="L81" t="s">
        <v>95</v>
      </c>
      <c r="M81">
        <v>55090</v>
      </c>
      <c r="N81" t="s">
        <v>252</v>
      </c>
      <c r="O81" t="s">
        <v>253</v>
      </c>
      <c r="P81" t="s">
        <v>254</v>
      </c>
      <c r="Q81" s="2">
        <v>300534064383800</v>
      </c>
      <c r="R81" s="3" t="s">
        <v>98</v>
      </c>
      <c r="S81" s="6">
        <v>202704</v>
      </c>
      <c r="T81" s="1">
        <v>2025</v>
      </c>
      <c r="W81" t="s">
        <v>245</v>
      </c>
      <c r="X81">
        <v>2024</v>
      </c>
      <c r="Y81" s="1" t="s">
        <v>217</v>
      </c>
      <c r="Z81" s="1">
        <v>2024</v>
      </c>
      <c r="AA81">
        <v>2025</v>
      </c>
      <c r="AB81">
        <v>2025</v>
      </c>
      <c r="AC81">
        <v>2024</v>
      </c>
      <c r="AD81">
        <v>50209</v>
      </c>
      <c r="AE81" t="s">
        <v>110</v>
      </c>
      <c r="AF81">
        <v>2024</v>
      </c>
      <c r="AT81">
        <v>2024</v>
      </c>
      <c r="AY81" t="s">
        <v>246</v>
      </c>
      <c r="AZ81">
        <v>2024</v>
      </c>
    </row>
    <row r="82" spans="1:58" x14ac:dyDescent="0.2">
      <c r="A82" t="s">
        <v>248</v>
      </c>
      <c r="B82" t="s">
        <v>249</v>
      </c>
      <c r="C82" s="5">
        <v>45941</v>
      </c>
      <c r="D82" t="s">
        <v>81</v>
      </c>
      <c r="E82" t="s">
        <v>90</v>
      </c>
      <c r="F82" t="s">
        <v>250</v>
      </c>
      <c r="G82" t="s">
        <v>228</v>
      </c>
      <c r="H82" t="s">
        <v>239</v>
      </c>
      <c r="I82" t="s">
        <v>230</v>
      </c>
      <c r="J82" t="s">
        <v>133</v>
      </c>
      <c r="K82" t="s">
        <v>251</v>
      </c>
      <c r="L82" t="s">
        <v>95</v>
      </c>
      <c r="M82">
        <v>55090</v>
      </c>
      <c r="N82" t="s">
        <v>252</v>
      </c>
      <c r="O82" t="s">
        <v>253</v>
      </c>
      <c r="P82" t="s">
        <v>254</v>
      </c>
      <c r="Q82" s="2">
        <v>300534064383800</v>
      </c>
      <c r="R82" s="3" t="s">
        <v>98</v>
      </c>
      <c r="S82" s="6">
        <v>202704</v>
      </c>
      <c r="T82" s="1">
        <v>2025</v>
      </c>
      <c r="W82" t="s">
        <v>245</v>
      </c>
      <c r="X82">
        <v>2024</v>
      </c>
      <c r="Y82" s="1" t="s">
        <v>217</v>
      </c>
      <c r="Z82" s="1">
        <v>2024</v>
      </c>
      <c r="AA82">
        <v>2025</v>
      </c>
      <c r="AB82">
        <v>2025</v>
      </c>
      <c r="AC82">
        <v>2024</v>
      </c>
      <c r="AD82">
        <v>50209</v>
      </c>
      <c r="AE82" t="s">
        <v>110</v>
      </c>
      <c r="AF82">
        <v>2024</v>
      </c>
      <c r="AT82">
        <v>2024</v>
      </c>
      <c r="AY82" t="s">
        <v>246</v>
      </c>
      <c r="AZ82">
        <v>2024</v>
      </c>
      <c r="BF82" t="s">
        <v>255</v>
      </c>
    </row>
    <row r="83" spans="1:58" x14ac:dyDescent="0.2">
      <c r="A83" t="s">
        <v>190</v>
      </c>
      <c r="B83" t="s">
        <v>190</v>
      </c>
      <c r="C83" s="5">
        <v>39907</v>
      </c>
      <c r="D83" t="s">
        <v>81</v>
      </c>
      <c r="E83" t="s">
        <v>90</v>
      </c>
      <c r="F83" t="s">
        <v>83</v>
      </c>
      <c r="G83" t="s">
        <v>512</v>
      </c>
      <c r="I83" t="s">
        <v>85</v>
      </c>
      <c r="J83" t="s">
        <v>86</v>
      </c>
      <c r="K83" t="s">
        <v>134</v>
      </c>
      <c r="L83" t="s">
        <v>109</v>
      </c>
      <c r="M83" t="s">
        <v>109</v>
      </c>
      <c r="N83" t="s">
        <v>109</v>
      </c>
      <c r="O83" t="s">
        <v>109</v>
      </c>
      <c r="P83" t="s">
        <v>109</v>
      </c>
      <c r="Q83" s="7"/>
      <c r="R83" t="s">
        <v>109</v>
      </c>
      <c r="S83" t="s">
        <v>109</v>
      </c>
      <c r="T83" t="s">
        <v>109</v>
      </c>
      <c r="U83" t="s">
        <v>109</v>
      </c>
      <c r="V83" t="s">
        <v>109</v>
      </c>
      <c r="W83" t="s">
        <v>109</v>
      </c>
      <c r="X83" t="s">
        <v>109</v>
      </c>
      <c r="Y83" t="s">
        <v>109</v>
      </c>
      <c r="Z83"/>
      <c r="AD83" t="s">
        <v>109</v>
      </c>
      <c r="AH83" t="s">
        <v>109</v>
      </c>
      <c r="AI83" t="s">
        <v>109</v>
      </c>
      <c r="AJ83" t="s">
        <v>109</v>
      </c>
      <c r="AK83" t="s">
        <v>109</v>
      </c>
      <c r="AN83" t="s">
        <v>109</v>
      </c>
      <c r="AO83" t="s">
        <v>109</v>
      </c>
      <c r="AP83" t="s">
        <v>109</v>
      </c>
      <c r="AQ83" t="s">
        <v>109</v>
      </c>
      <c r="AR83" t="s">
        <v>109</v>
      </c>
      <c r="AS83" t="s">
        <v>109</v>
      </c>
      <c r="AT83" t="s">
        <v>109</v>
      </c>
      <c r="AY83" t="s">
        <v>109</v>
      </c>
      <c r="BE83" t="s">
        <v>513</v>
      </c>
    </row>
    <row r="84" spans="1:58" x14ac:dyDescent="0.2">
      <c r="A84" t="s">
        <v>190</v>
      </c>
      <c r="B84" t="s">
        <v>190</v>
      </c>
      <c r="C84" s="5">
        <v>45439</v>
      </c>
      <c r="D84" t="s">
        <v>81</v>
      </c>
      <c r="E84" t="s">
        <v>90</v>
      </c>
      <c r="F84" t="s">
        <v>83</v>
      </c>
      <c r="G84" t="s">
        <v>155</v>
      </c>
      <c r="I84" t="s">
        <v>85</v>
      </c>
      <c r="J84" t="s">
        <v>93</v>
      </c>
      <c r="K84" t="s">
        <v>191</v>
      </c>
      <c r="L84" t="s">
        <v>95</v>
      </c>
      <c r="M84">
        <v>55529</v>
      </c>
      <c r="N84" t="s">
        <v>105</v>
      </c>
      <c r="O84" t="s">
        <v>223</v>
      </c>
      <c r="P84" t="s">
        <v>192</v>
      </c>
      <c r="Q84" s="2">
        <v>300534062415410</v>
      </c>
      <c r="R84" s="3" t="s">
        <v>98</v>
      </c>
      <c r="S84" s="6" t="s">
        <v>406</v>
      </c>
      <c r="T84" s="1">
        <v>2023</v>
      </c>
      <c r="W84" t="s">
        <v>362</v>
      </c>
      <c r="X84">
        <v>2024</v>
      </c>
      <c r="Y84"/>
      <c r="Z84"/>
      <c r="AJ84">
        <v>2024</v>
      </c>
      <c r="AK84">
        <v>2024</v>
      </c>
      <c r="AP84" t="s">
        <v>110</v>
      </c>
      <c r="AQ84" t="s">
        <v>194</v>
      </c>
      <c r="AR84" t="s">
        <v>110</v>
      </c>
      <c r="AS84">
        <v>2024</v>
      </c>
      <c r="AT84" t="s">
        <v>194</v>
      </c>
      <c r="AY84" t="s">
        <v>109</v>
      </c>
      <c r="AZ84" t="s">
        <v>194</v>
      </c>
    </row>
    <row r="85" spans="1:58" x14ac:dyDescent="0.2">
      <c r="A85" t="s">
        <v>190</v>
      </c>
      <c r="B85" t="s">
        <v>190</v>
      </c>
      <c r="C85" s="5">
        <v>45793</v>
      </c>
      <c r="D85" t="s">
        <v>81</v>
      </c>
      <c r="E85" t="s">
        <v>90</v>
      </c>
      <c r="F85" t="s">
        <v>83</v>
      </c>
      <c r="G85" t="s">
        <v>155</v>
      </c>
      <c r="I85" t="s">
        <v>85</v>
      </c>
      <c r="J85" t="s">
        <v>93</v>
      </c>
      <c r="K85" t="s">
        <v>191</v>
      </c>
      <c r="L85" t="s">
        <v>95</v>
      </c>
      <c r="M85">
        <v>55529</v>
      </c>
      <c r="N85" t="s">
        <v>105</v>
      </c>
      <c r="O85" t="s">
        <v>223</v>
      </c>
      <c r="P85" t="s">
        <v>192</v>
      </c>
      <c r="Q85" s="2">
        <v>300534062415410</v>
      </c>
      <c r="R85" s="3" t="s">
        <v>98</v>
      </c>
      <c r="S85" s="6">
        <v>202703</v>
      </c>
      <c r="T85" s="1">
        <v>2025</v>
      </c>
      <c r="W85" t="s">
        <v>362</v>
      </c>
      <c r="X85">
        <v>2024</v>
      </c>
      <c r="Y85"/>
      <c r="Z85"/>
      <c r="AJ85">
        <v>2025</v>
      </c>
      <c r="AK85">
        <v>2025</v>
      </c>
      <c r="AP85" t="s">
        <v>110</v>
      </c>
      <c r="AQ85" t="s">
        <v>194</v>
      </c>
      <c r="AR85" t="s">
        <v>110</v>
      </c>
      <c r="AS85">
        <v>2024</v>
      </c>
      <c r="AT85" t="s">
        <v>194</v>
      </c>
      <c r="AY85" t="s">
        <v>109</v>
      </c>
      <c r="AZ85" t="s">
        <v>194</v>
      </c>
      <c r="BF85" t="s">
        <v>363</v>
      </c>
    </row>
    <row r="86" spans="1:58" x14ac:dyDescent="0.2">
      <c r="A86" t="s">
        <v>190</v>
      </c>
      <c r="B86" t="s">
        <v>190</v>
      </c>
      <c r="C86" s="5">
        <v>46148</v>
      </c>
      <c r="D86" t="s">
        <v>81</v>
      </c>
      <c r="E86" t="s">
        <v>90</v>
      </c>
      <c r="F86" t="s">
        <v>83</v>
      </c>
      <c r="G86" t="s">
        <v>155</v>
      </c>
      <c r="I86" t="s">
        <v>85</v>
      </c>
      <c r="J86" t="s">
        <v>93</v>
      </c>
      <c r="K86" t="s">
        <v>191</v>
      </c>
      <c r="L86" t="s">
        <v>95</v>
      </c>
      <c r="M86">
        <v>55529</v>
      </c>
      <c r="N86" t="s">
        <v>105</v>
      </c>
      <c r="O86" t="s">
        <v>157</v>
      </c>
      <c r="P86" t="s">
        <v>192</v>
      </c>
      <c r="Q86" s="2">
        <v>300534062415410</v>
      </c>
      <c r="R86" s="3" t="s">
        <v>98</v>
      </c>
      <c r="S86" s="6">
        <v>202703</v>
      </c>
      <c r="T86" s="1">
        <v>2025</v>
      </c>
      <c r="W86" t="s">
        <v>193</v>
      </c>
      <c r="X86">
        <v>2026</v>
      </c>
      <c r="Y86"/>
      <c r="Z86"/>
      <c r="AJ86">
        <v>2025</v>
      </c>
      <c r="AK86">
        <v>2026</v>
      </c>
      <c r="AL86">
        <v>2026</v>
      </c>
      <c r="AM86">
        <v>2026</v>
      </c>
      <c r="AP86" t="s">
        <v>110</v>
      </c>
      <c r="AQ86">
        <v>2026</v>
      </c>
      <c r="AR86" t="s">
        <v>110</v>
      </c>
      <c r="AS86">
        <v>2026</v>
      </c>
      <c r="AT86" t="s">
        <v>194</v>
      </c>
      <c r="AY86" t="s">
        <v>109</v>
      </c>
      <c r="AZ86" t="s">
        <v>194</v>
      </c>
      <c r="BA86" t="s">
        <v>160</v>
      </c>
      <c r="BB86">
        <v>2026</v>
      </c>
      <c r="BF86" t="s">
        <v>195</v>
      </c>
    </row>
    <row r="87" spans="1:58" hidden="1" x14ac:dyDescent="0.2">
      <c r="A87" t="s">
        <v>379</v>
      </c>
      <c r="B87" t="s">
        <v>379</v>
      </c>
      <c r="C87" s="5">
        <v>39646</v>
      </c>
      <c r="D87" t="s">
        <v>81</v>
      </c>
      <c r="E87" t="s">
        <v>380</v>
      </c>
      <c r="F87" t="s">
        <v>250</v>
      </c>
      <c r="G87" t="s">
        <v>206</v>
      </c>
      <c r="I87" t="s">
        <v>230</v>
      </c>
      <c r="J87" t="s">
        <v>86</v>
      </c>
      <c r="Y87"/>
      <c r="Z87"/>
    </row>
    <row r="88" spans="1:58" hidden="1" x14ac:dyDescent="0.2">
      <c r="A88" t="s">
        <v>379</v>
      </c>
      <c r="B88" t="s">
        <v>379</v>
      </c>
      <c r="C88" s="5">
        <v>44709</v>
      </c>
      <c r="D88" t="s">
        <v>81</v>
      </c>
      <c r="E88" t="s">
        <v>380</v>
      </c>
      <c r="F88" t="s">
        <v>250</v>
      </c>
      <c r="G88" t="s">
        <v>206</v>
      </c>
      <c r="J88" t="s">
        <v>133</v>
      </c>
      <c r="BF88" t="s">
        <v>381</v>
      </c>
    </row>
    <row r="89" spans="1:58" x14ac:dyDescent="0.2">
      <c r="A89" t="s">
        <v>487</v>
      </c>
      <c r="B89" t="s">
        <v>379</v>
      </c>
      <c r="C89" s="5">
        <v>44709</v>
      </c>
      <c r="D89" t="s">
        <v>81</v>
      </c>
      <c r="E89" t="s">
        <v>90</v>
      </c>
      <c r="F89" t="s">
        <v>250</v>
      </c>
      <c r="G89" t="s">
        <v>228</v>
      </c>
      <c r="H89" t="s">
        <v>488</v>
      </c>
      <c r="I89" t="s">
        <v>230</v>
      </c>
      <c r="J89" t="s">
        <v>86</v>
      </c>
      <c r="K89" t="s">
        <v>208</v>
      </c>
      <c r="L89" t="s">
        <v>95</v>
      </c>
      <c r="M89" t="s">
        <v>124</v>
      </c>
      <c r="N89" t="s">
        <v>124</v>
      </c>
      <c r="O89" t="s">
        <v>467</v>
      </c>
      <c r="P89" t="s">
        <v>124</v>
      </c>
      <c r="Q89" s="47">
        <v>300534063819760</v>
      </c>
      <c r="R89" s="3" t="s">
        <v>98</v>
      </c>
      <c r="S89" s="6" t="s">
        <v>489</v>
      </c>
      <c r="T89" s="1">
        <v>2022</v>
      </c>
      <c r="W89" t="s">
        <v>216</v>
      </c>
      <c r="X89">
        <v>2022</v>
      </c>
      <c r="Y89" t="s">
        <v>217</v>
      </c>
      <c r="Z89" s="1">
        <v>2022</v>
      </c>
      <c r="AA89">
        <v>2022</v>
      </c>
      <c r="AB89">
        <v>2022</v>
      </c>
      <c r="AC89">
        <v>2022</v>
      </c>
      <c r="AD89">
        <v>50164</v>
      </c>
      <c r="AE89" t="s">
        <v>124</v>
      </c>
      <c r="AF89">
        <v>2022</v>
      </c>
      <c r="AT89">
        <v>2022</v>
      </c>
      <c r="AY89" t="s">
        <v>246</v>
      </c>
      <c r="AZ89">
        <v>2022</v>
      </c>
    </row>
    <row r="90" spans="1:58" hidden="1" x14ac:dyDescent="0.2">
      <c r="A90" t="s">
        <v>382</v>
      </c>
      <c r="B90" t="s">
        <v>382</v>
      </c>
      <c r="C90" s="5">
        <v>39646</v>
      </c>
      <c r="D90" t="s">
        <v>81</v>
      </c>
      <c r="E90" t="s">
        <v>380</v>
      </c>
      <c r="F90" t="s">
        <v>250</v>
      </c>
      <c r="G90" t="s">
        <v>206</v>
      </c>
      <c r="I90" t="s">
        <v>230</v>
      </c>
      <c r="J90" t="s">
        <v>86</v>
      </c>
      <c r="Q90" s="2">
        <v>300234066319330</v>
      </c>
      <c r="Y90"/>
      <c r="Z90"/>
    </row>
    <row r="91" spans="1:58" hidden="1" x14ac:dyDescent="0.2">
      <c r="A91" t="s">
        <v>382</v>
      </c>
      <c r="B91" t="s">
        <v>382</v>
      </c>
      <c r="C91" s="5">
        <v>44709</v>
      </c>
      <c r="D91" t="s">
        <v>81</v>
      </c>
      <c r="E91" t="s">
        <v>380</v>
      </c>
      <c r="F91" t="s">
        <v>250</v>
      </c>
      <c r="G91" t="s">
        <v>206</v>
      </c>
      <c r="I91" t="s">
        <v>230</v>
      </c>
      <c r="J91" t="s">
        <v>88</v>
      </c>
    </row>
    <row r="92" spans="1:58" x14ac:dyDescent="0.2">
      <c r="A92" t="s">
        <v>487</v>
      </c>
      <c r="B92" t="s">
        <v>379</v>
      </c>
      <c r="C92" s="5">
        <v>46158</v>
      </c>
      <c r="D92" t="s">
        <v>81</v>
      </c>
      <c r="E92" t="s">
        <v>90</v>
      </c>
      <c r="F92" t="s">
        <v>250</v>
      </c>
      <c r="G92" t="s">
        <v>228</v>
      </c>
      <c r="H92" t="s">
        <v>239</v>
      </c>
      <c r="I92" t="s">
        <v>230</v>
      </c>
      <c r="J92" t="s">
        <v>168</v>
      </c>
      <c r="K92" t="s">
        <v>659</v>
      </c>
      <c r="L92" t="s">
        <v>95</v>
      </c>
      <c r="M92">
        <v>31515</v>
      </c>
      <c r="N92" t="s">
        <v>105</v>
      </c>
      <c r="O92" t="s">
        <v>253</v>
      </c>
      <c r="P92" t="s">
        <v>660</v>
      </c>
      <c r="Q92" s="2">
        <v>300534062419950</v>
      </c>
      <c r="R92" s="3" t="s">
        <v>276</v>
      </c>
      <c r="S92" s="6" t="s">
        <v>601</v>
      </c>
      <c r="T92" s="1">
        <v>2026</v>
      </c>
      <c r="W92" t="s">
        <v>245</v>
      </c>
      <c r="X92">
        <v>2026</v>
      </c>
      <c r="Y92" s="1" t="s">
        <v>650</v>
      </c>
      <c r="Z92" s="1">
        <v>2026</v>
      </c>
      <c r="AA92">
        <v>2026</v>
      </c>
      <c r="AB92">
        <v>2026</v>
      </c>
      <c r="AC92">
        <v>2026</v>
      </c>
      <c r="AD92" t="s">
        <v>620</v>
      </c>
      <c r="AE92" t="s">
        <v>110</v>
      </c>
      <c r="AF92">
        <v>2026</v>
      </c>
      <c r="AT92">
        <v>2026</v>
      </c>
      <c r="AY92" t="s">
        <v>246</v>
      </c>
      <c r="AZ92">
        <v>2026</v>
      </c>
    </row>
    <row r="93" spans="1:58" hidden="1" x14ac:dyDescent="0.2">
      <c r="A93" t="s">
        <v>384</v>
      </c>
      <c r="B93" t="s">
        <v>384</v>
      </c>
      <c r="C93">
        <v>2023</v>
      </c>
      <c r="D93" t="s">
        <v>385</v>
      </c>
      <c r="F93" t="s">
        <v>250</v>
      </c>
      <c r="J93" t="s">
        <v>168</v>
      </c>
      <c r="K93" t="s">
        <v>386</v>
      </c>
      <c r="O93" t="s">
        <v>212</v>
      </c>
      <c r="Q93" s="2">
        <v>1218580</v>
      </c>
      <c r="S93" s="6">
        <v>80101</v>
      </c>
      <c r="Y93"/>
      <c r="Z93"/>
      <c r="AH93" t="s">
        <v>271</v>
      </c>
    </row>
    <row r="94" spans="1:58" hidden="1" x14ac:dyDescent="0.2">
      <c r="A94" t="s">
        <v>384</v>
      </c>
      <c r="B94" t="s">
        <v>384</v>
      </c>
      <c r="C94" t="s">
        <v>387</v>
      </c>
      <c r="D94" t="s">
        <v>385</v>
      </c>
      <c r="F94" t="s">
        <v>250</v>
      </c>
      <c r="G94" t="s">
        <v>206</v>
      </c>
      <c r="I94" t="s">
        <v>230</v>
      </c>
      <c r="J94" t="s">
        <v>387</v>
      </c>
      <c r="P94" t="s">
        <v>213</v>
      </c>
      <c r="W94" t="s">
        <v>388</v>
      </c>
      <c r="Y94" t="s">
        <v>217</v>
      </c>
      <c r="Z94"/>
    </row>
    <row r="95" spans="1:58" hidden="1" x14ac:dyDescent="0.2">
      <c r="A95" t="s">
        <v>389</v>
      </c>
      <c r="B95" t="s">
        <v>389</v>
      </c>
      <c r="C95">
        <v>2024</v>
      </c>
      <c r="D95" t="s">
        <v>385</v>
      </c>
      <c r="F95" t="s">
        <v>250</v>
      </c>
      <c r="J95" t="s">
        <v>168</v>
      </c>
      <c r="Y95"/>
      <c r="Z95"/>
      <c r="BF95" t="s">
        <v>390</v>
      </c>
    </row>
    <row r="96" spans="1:58" hidden="1" x14ac:dyDescent="0.2">
      <c r="A96" t="s">
        <v>391</v>
      </c>
      <c r="B96" t="s">
        <v>389</v>
      </c>
      <c r="C96">
        <v>2024</v>
      </c>
      <c r="D96" t="s">
        <v>385</v>
      </c>
      <c r="F96" t="s">
        <v>250</v>
      </c>
      <c r="J96" t="s">
        <v>168</v>
      </c>
      <c r="Y96"/>
      <c r="Z96"/>
      <c r="BF96" t="s">
        <v>392</v>
      </c>
    </row>
    <row r="97" spans="1:58" hidden="1" x14ac:dyDescent="0.2">
      <c r="A97" t="s">
        <v>391</v>
      </c>
      <c r="B97" t="s">
        <v>389</v>
      </c>
      <c r="C97" t="s">
        <v>387</v>
      </c>
      <c r="D97" t="s">
        <v>385</v>
      </c>
      <c r="J97" t="s">
        <v>387</v>
      </c>
      <c r="Y97"/>
      <c r="Z97"/>
    </row>
    <row r="98" spans="1:58" hidden="1" x14ac:dyDescent="0.2">
      <c r="A98" t="s">
        <v>393</v>
      </c>
      <c r="B98" t="s">
        <v>389</v>
      </c>
      <c r="C98">
        <v>2024</v>
      </c>
      <c r="D98" t="s">
        <v>385</v>
      </c>
      <c r="F98" t="s">
        <v>250</v>
      </c>
      <c r="J98" t="s">
        <v>168</v>
      </c>
      <c r="Y98"/>
      <c r="Z98"/>
      <c r="BF98" t="s">
        <v>394</v>
      </c>
    </row>
    <row r="99" spans="1:58" hidden="1" x14ac:dyDescent="0.2">
      <c r="A99" t="s">
        <v>393</v>
      </c>
      <c r="B99" t="s">
        <v>389</v>
      </c>
      <c r="C99" t="s">
        <v>387</v>
      </c>
      <c r="D99" t="s">
        <v>385</v>
      </c>
      <c r="J99" t="s">
        <v>387</v>
      </c>
    </row>
    <row r="100" spans="1:58" x14ac:dyDescent="0.2">
      <c r="A100" t="s">
        <v>490</v>
      </c>
      <c r="B100" t="s">
        <v>382</v>
      </c>
      <c r="C100" s="5">
        <v>44709</v>
      </c>
      <c r="D100" t="s">
        <v>81</v>
      </c>
      <c r="E100" t="s">
        <v>90</v>
      </c>
      <c r="F100" t="s">
        <v>250</v>
      </c>
      <c r="G100" t="s">
        <v>228</v>
      </c>
      <c r="H100" t="s">
        <v>488</v>
      </c>
      <c r="I100" t="s">
        <v>230</v>
      </c>
      <c r="J100" t="s">
        <v>86</v>
      </c>
      <c r="K100" t="s">
        <v>134</v>
      </c>
      <c r="L100" t="s">
        <v>95</v>
      </c>
      <c r="M100" t="s">
        <v>109</v>
      </c>
      <c r="N100" t="s">
        <v>109</v>
      </c>
      <c r="O100" t="s">
        <v>467</v>
      </c>
      <c r="P100" t="s">
        <v>109</v>
      </c>
      <c r="Q100" s="48">
        <v>300534063810550</v>
      </c>
      <c r="R100" s="3" t="s">
        <v>276</v>
      </c>
      <c r="S100" s="6" t="s">
        <v>491</v>
      </c>
      <c r="T100" s="1">
        <v>2022</v>
      </c>
      <c r="W100" t="s">
        <v>216</v>
      </c>
      <c r="X100">
        <v>2022</v>
      </c>
      <c r="Y100" t="s">
        <v>217</v>
      </c>
      <c r="Z100">
        <v>2022</v>
      </c>
      <c r="AA100">
        <v>2022</v>
      </c>
      <c r="AB100">
        <v>2022</v>
      </c>
      <c r="AC100">
        <v>2022</v>
      </c>
      <c r="AD100">
        <v>50195</v>
      </c>
      <c r="AE100" t="s">
        <v>110</v>
      </c>
      <c r="AF100">
        <v>2022</v>
      </c>
      <c r="AT100">
        <v>2022</v>
      </c>
      <c r="AY100" t="s">
        <v>246</v>
      </c>
      <c r="AZ100">
        <v>2022</v>
      </c>
    </row>
    <row r="101" spans="1:58" x14ac:dyDescent="0.2">
      <c r="A101" t="s">
        <v>490</v>
      </c>
      <c r="B101" t="s">
        <v>382</v>
      </c>
      <c r="C101" s="5">
        <v>46158</v>
      </c>
      <c r="D101" t="s">
        <v>81</v>
      </c>
      <c r="E101" t="s">
        <v>90</v>
      </c>
      <c r="F101" t="s">
        <v>250</v>
      </c>
      <c r="G101" t="s">
        <v>228</v>
      </c>
      <c r="H101" t="s">
        <v>239</v>
      </c>
      <c r="I101" t="s">
        <v>230</v>
      </c>
      <c r="J101" t="s">
        <v>168</v>
      </c>
      <c r="K101" t="s">
        <v>208</v>
      </c>
      <c r="L101" t="s">
        <v>95</v>
      </c>
      <c r="M101">
        <v>35295</v>
      </c>
      <c r="N101" t="s">
        <v>105</v>
      </c>
      <c r="O101" t="s">
        <v>253</v>
      </c>
      <c r="P101" t="s">
        <v>660</v>
      </c>
      <c r="Q101" s="2">
        <v>300534063813790</v>
      </c>
      <c r="R101" s="3" t="s">
        <v>276</v>
      </c>
      <c r="S101" s="6" t="s">
        <v>406</v>
      </c>
      <c r="T101" s="1">
        <v>2026</v>
      </c>
      <c r="W101" t="s">
        <v>245</v>
      </c>
      <c r="X101">
        <v>2026</v>
      </c>
      <c r="Y101" s="1" t="s">
        <v>650</v>
      </c>
      <c r="Z101" s="1">
        <v>2026</v>
      </c>
      <c r="AA101">
        <v>2026</v>
      </c>
      <c r="AB101">
        <v>2026</v>
      </c>
      <c r="AC101">
        <v>2026</v>
      </c>
      <c r="AD101" t="s">
        <v>622</v>
      </c>
      <c r="AE101" t="s">
        <v>110</v>
      </c>
      <c r="AF101">
        <v>2026</v>
      </c>
      <c r="AT101">
        <v>2026</v>
      </c>
      <c r="AY101" t="s">
        <v>246</v>
      </c>
      <c r="AZ101">
        <v>2026</v>
      </c>
    </row>
    <row r="102" spans="1:58" x14ac:dyDescent="0.2">
      <c r="A102" t="s">
        <v>121</v>
      </c>
      <c r="B102" t="s">
        <v>121</v>
      </c>
      <c r="C102" s="5">
        <v>44707</v>
      </c>
      <c r="D102" t="s">
        <v>81</v>
      </c>
      <c r="E102" t="s">
        <v>90</v>
      </c>
      <c r="F102" t="s">
        <v>83</v>
      </c>
      <c r="G102" t="s">
        <v>155</v>
      </c>
      <c r="I102" t="s">
        <v>85</v>
      </c>
      <c r="J102" t="s">
        <v>86</v>
      </c>
      <c r="K102" t="s">
        <v>134</v>
      </c>
      <c r="L102" t="s">
        <v>95</v>
      </c>
      <c r="M102">
        <v>31343</v>
      </c>
      <c r="N102" t="s">
        <v>109</v>
      </c>
      <c r="O102" t="s">
        <v>483</v>
      </c>
      <c r="P102" t="s">
        <v>109</v>
      </c>
      <c r="Q102" s="2">
        <v>300534063815700</v>
      </c>
      <c r="R102" s="3" t="s">
        <v>98</v>
      </c>
      <c r="S102" s="6">
        <v>213288</v>
      </c>
      <c r="T102" s="1">
        <v>2021</v>
      </c>
      <c r="W102" t="s">
        <v>403</v>
      </c>
      <c r="X102">
        <v>2022</v>
      </c>
      <c r="Y102"/>
      <c r="Z102"/>
      <c r="AJ102">
        <v>2022</v>
      </c>
      <c r="AK102">
        <v>2022</v>
      </c>
      <c r="AP102" t="s">
        <v>110</v>
      </c>
      <c r="AQ102">
        <v>2022</v>
      </c>
      <c r="AR102" t="s">
        <v>110</v>
      </c>
      <c r="AS102">
        <v>2022</v>
      </c>
      <c r="AT102">
        <v>2022</v>
      </c>
      <c r="AY102" t="s">
        <v>404</v>
      </c>
      <c r="AZ102">
        <v>2022</v>
      </c>
    </row>
    <row r="103" spans="1:58" x14ac:dyDescent="0.2">
      <c r="A103" t="s">
        <v>121</v>
      </c>
      <c r="B103" t="s">
        <v>121</v>
      </c>
      <c r="C103" s="5">
        <v>45100</v>
      </c>
      <c r="D103" t="s">
        <v>81</v>
      </c>
      <c r="E103" t="s">
        <v>90</v>
      </c>
      <c r="F103" t="s">
        <v>83</v>
      </c>
      <c r="G103" t="s">
        <v>155</v>
      </c>
      <c r="I103" t="s">
        <v>85</v>
      </c>
      <c r="J103" t="s">
        <v>93</v>
      </c>
      <c r="K103" t="s">
        <v>454</v>
      </c>
      <c r="L103" t="s">
        <v>95</v>
      </c>
      <c r="M103">
        <v>41784</v>
      </c>
      <c r="N103" t="s">
        <v>455</v>
      </c>
      <c r="O103" t="s">
        <v>432</v>
      </c>
      <c r="P103" t="s">
        <v>192</v>
      </c>
      <c r="Q103" s="2">
        <v>300534063819800</v>
      </c>
      <c r="R103" s="3" t="s">
        <v>98</v>
      </c>
      <c r="S103" s="6">
        <v>213288</v>
      </c>
      <c r="T103" s="1">
        <v>2021</v>
      </c>
      <c r="W103" t="s">
        <v>403</v>
      </c>
      <c r="X103">
        <v>2022</v>
      </c>
      <c r="Y103"/>
      <c r="Z103"/>
      <c r="AJ103">
        <v>2023</v>
      </c>
      <c r="AK103">
        <v>2023</v>
      </c>
      <c r="AP103" t="s">
        <v>110</v>
      </c>
      <c r="AQ103">
        <v>2022</v>
      </c>
      <c r="AR103" t="s">
        <v>110</v>
      </c>
      <c r="AS103">
        <v>2022</v>
      </c>
      <c r="AT103">
        <v>2022</v>
      </c>
      <c r="AY103" t="s">
        <v>404</v>
      </c>
      <c r="AZ103">
        <v>2022</v>
      </c>
    </row>
    <row r="104" spans="1:58" x14ac:dyDescent="0.2">
      <c r="A104" t="s">
        <v>121</v>
      </c>
      <c r="B104" t="s">
        <v>121</v>
      </c>
      <c r="C104" s="5">
        <v>45456</v>
      </c>
      <c r="D104" t="s">
        <v>81</v>
      </c>
      <c r="E104" t="s">
        <v>90</v>
      </c>
      <c r="F104" t="s">
        <v>83</v>
      </c>
      <c r="G104" t="s">
        <v>91</v>
      </c>
      <c r="I104" t="s">
        <v>85</v>
      </c>
      <c r="J104" t="s">
        <v>93</v>
      </c>
      <c r="K104" t="s">
        <v>405</v>
      </c>
      <c r="L104" t="s">
        <v>95</v>
      </c>
      <c r="M104">
        <v>23807</v>
      </c>
      <c r="N104" t="s">
        <v>105</v>
      </c>
      <c r="O104" t="s">
        <v>97</v>
      </c>
      <c r="P104" t="s">
        <v>107</v>
      </c>
      <c r="Q104" s="2">
        <v>300534062416350</v>
      </c>
      <c r="R104" s="3" t="s">
        <v>98</v>
      </c>
      <c r="S104" s="6">
        <v>213288</v>
      </c>
      <c r="T104" s="1">
        <v>2021</v>
      </c>
      <c r="U104" t="s">
        <v>99</v>
      </c>
      <c r="V104">
        <v>2024</v>
      </c>
      <c r="W104" t="s">
        <v>108</v>
      </c>
      <c r="X104">
        <v>2024</v>
      </c>
      <c r="Y104"/>
      <c r="Z104"/>
      <c r="AJ104">
        <v>2024</v>
      </c>
      <c r="AK104">
        <v>2024</v>
      </c>
      <c r="AN104">
        <v>2024</v>
      </c>
      <c r="AO104">
        <v>2024</v>
      </c>
      <c r="AP104" t="s">
        <v>110</v>
      </c>
      <c r="AQ104">
        <v>2022</v>
      </c>
      <c r="AR104" t="s">
        <v>110</v>
      </c>
      <c r="AS104">
        <v>2022</v>
      </c>
      <c r="AT104">
        <v>2022</v>
      </c>
      <c r="AY104" t="s">
        <v>404</v>
      </c>
      <c r="AZ104">
        <v>2022</v>
      </c>
    </row>
    <row r="105" spans="1:58" hidden="1" x14ac:dyDescent="0.2">
      <c r="A105" t="s">
        <v>400</v>
      </c>
      <c r="B105" t="s">
        <v>121</v>
      </c>
      <c r="C105" s="5">
        <v>35553</v>
      </c>
      <c r="D105" t="s">
        <v>81</v>
      </c>
      <c r="E105" t="s">
        <v>82</v>
      </c>
      <c r="F105" t="s">
        <v>83</v>
      </c>
      <c r="G105" t="s">
        <v>84</v>
      </c>
      <c r="I105" t="s">
        <v>85</v>
      </c>
      <c r="J105" t="s">
        <v>86</v>
      </c>
    </row>
    <row r="106" spans="1:58" hidden="1" x14ac:dyDescent="0.2">
      <c r="A106" t="s">
        <v>400</v>
      </c>
      <c r="B106" t="s">
        <v>121</v>
      </c>
      <c r="C106" s="5">
        <v>45102</v>
      </c>
      <c r="D106" t="s">
        <v>81</v>
      </c>
      <c r="E106" t="s">
        <v>82</v>
      </c>
      <c r="F106" t="s">
        <v>83</v>
      </c>
      <c r="G106" t="s">
        <v>84</v>
      </c>
      <c r="I106" t="s">
        <v>85</v>
      </c>
      <c r="J106" t="s">
        <v>88</v>
      </c>
    </row>
    <row r="107" spans="1:58" hidden="1" x14ac:dyDescent="0.2">
      <c r="A107" t="s">
        <v>401</v>
      </c>
      <c r="B107" t="s">
        <v>201</v>
      </c>
      <c r="C107" s="5">
        <v>35909</v>
      </c>
      <c r="D107" t="s">
        <v>81</v>
      </c>
      <c r="E107" t="s">
        <v>82</v>
      </c>
      <c r="F107" t="s">
        <v>83</v>
      </c>
      <c r="G107" t="s">
        <v>84</v>
      </c>
      <c r="I107" t="s">
        <v>85</v>
      </c>
      <c r="J107" t="s">
        <v>86</v>
      </c>
    </row>
    <row r="108" spans="1:58" hidden="1" x14ac:dyDescent="0.2">
      <c r="A108" t="s">
        <v>401</v>
      </c>
      <c r="B108" t="s">
        <v>201</v>
      </c>
      <c r="C108" s="5">
        <v>44366</v>
      </c>
      <c r="D108" t="s">
        <v>81</v>
      </c>
      <c r="E108" t="s">
        <v>82</v>
      </c>
      <c r="F108" t="s">
        <v>83</v>
      </c>
      <c r="G108" t="s">
        <v>84</v>
      </c>
      <c r="I108" t="s">
        <v>85</v>
      </c>
      <c r="J108" t="s">
        <v>88</v>
      </c>
    </row>
    <row r="109" spans="1:58" hidden="1" x14ac:dyDescent="0.2">
      <c r="A109" t="s">
        <v>402</v>
      </c>
      <c r="B109" t="s">
        <v>125</v>
      </c>
      <c r="C109" s="5">
        <v>34850</v>
      </c>
      <c r="D109" t="s">
        <v>81</v>
      </c>
      <c r="E109" t="s">
        <v>82</v>
      </c>
      <c r="F109" t="s">
        <v>83</v>
      </c>
      <c r="G109" t="s">
        <v>84</v>
      </c>
      <c r="I109" t="s">
        <v>85</v>
      </c>
      <c r="J109" t="s">
        <v>86</v>
      </c>
    </row>
    <row r="110" spans="1:58" hidden="1" x14ac:dyDescent="0.2">
      <c r="A110" t="s">
        <v>402</v>
      </c>
      <c r="B110" t="s">
        <v>125</v>
      </c>
      <c r="C110" s="5">
        <v>45095</v>
      </c>
      <c r="D110" t="s">
        <v>81</v>
      </c>
      <c r="E110" t="s">
        <v>82</v>
      </c>
      <c r="F110" t="s">
        <v>83</v>
      </c>
      <c r="G110" t="s">
        <v>84</v>
      </c>
      <c r="I110" t="s">
        <v>85</v>
      </c>
      <c r="J110" t="s">
        <v>88</v>
      </c>
    </row>
    <row r="111" spans="1:58" x14ac:dyDescent="0.2">
      <c r="A111" t="s">
        <v>121</v>
      </c>
      <c r="B111" t="s">
        <v>121</v>
      </c>
      <c r="C111" s="5">
        <v>46184</v>
      </c>
      <c r="D111" t="s">
        <v>81</v>
      </c>
      <c r="E111" t="s">
        <v>90</v>
      </c>
      <c r="F111" t="s">
        <v>83</v>
      </c>
      <c r="G111" t="s">
        <v>91</v>
      </c>
      <c r="I111" t="s">
        <v>85</v>
      </c>
      <c r="J111" t="s">
        <v>93</v>
      </c>
      <c r="K111" t="s">
        <v>122</v>
      </c>
      <c r="L111" t="s">
        <v>118</v>
      </c>
      <c r="M111">
        <v>78884</v>
      </c>
      <c r="N111" t="s">
        <v>123</v>
      </c>
      <c r="O111" t="s">
        <v>97</v>
      </c>
      <c r="P111" t="s">
        <v>114</v>
      </c>
      <c r="Q111" s="2">
        <v>300534062418810</v>
      </c>
      <c r="R111" s="3" t="s">
        <v>98</v>
      </c>
      <c r="S111" s="6">
        <v>213288</v>
      </c>
      <c r="T111" s="1">
        <v>2021</v>
      </c>
      <c r="U111" t="s">
        <v>99</v>
      </c>
      <c r="V111">
        <v>2026</v>
      </c>
      <c r="W111" t="s">
        <v>108</v>
      </c>
      <c r="X111">
        <v>2026</v>
      </c>
      <c r="AJ111">
        <v>2026</v>
      </c>
      <c r="AK111">
        <v>2026</v>
      </c>
      <c r="AL111" t="s">
        <v>124</v>
      </c>
      <c r="AN111">
        <v>2026</v>
      </c>
      <c r="AO111">
        <v>2024</v>
      </c>
      <c r="AP111" t="s">
        <v>110</v>
      </c>
      <c r="AQ111">
        <v>2026</v>
      </c>
      <c r="AR111" t="s">
        <v>110</v>
      </c>
      <c r="AS111">
        <v>2026</v>
      </c>
      <c r="AT111">
        <v>2026</v>
      </c>
      <c r="AY111" t="s">
        <v>102</v>
      </c>
      <c r="AZ111">
        <v>2026</v>
      </c>
    </row>
    <row r="112" spans="1:58" x14ac:dyDescent="0.2">
      <c r="A112" t="s">
        <v>125</v>
      </c>
      <c r="B112" t="s">
        <v>125</v>
      </c>
      <c r="C112" s="5">
        <v>44425</v>
      </c>
      <c r="D112" t="s">
        <v>81</v>
      </c>
      <c r="E112" t="s">
        <v>90</v>
      </c>
      <c r="F112" t="s">
        <v>83</v>
      </c>
      <c r="G112" t="s">
        <v>479</v>
      </c>
      <c r="I112" t="s">
        <v>85</v>
      </c>
      <c r="J112" t="s">
        <v>86</v>
      </c>
      <c r="K112" t="s">
        <v>134</v>
      </c>
      <c r="L112" t="s">
        <v>95</v>
      </c>
      <c r="M112">
        <v>23809</v>
      </c>
      <c r="N112" t="s">
        <v>109</v>
      </c>
      <c r="O112" t="s">
        <v>480</v>
      </c>
      <c r="P112" t="s">
        <v>109</v>
      </c>
      <c r="Q112" s="2">
        <v>300534062412950</v>
      </c>
      <c r="R112" s="3" t="s">
        <v>98</v>
      </c>
      <c r="S112" s="6" t="s">
        <v>497</v>
      </c>
      <c r="T112" s="1">
        <v>2021</v>
      </c>
      <c r="W112" t="s">
        <v>108</v>
      </c>
      <c r="X112">
        <v>2021</v>
      </c>
      <c r="Y112"/>
      <c r="Z112"/>
      <c r="AJ112">
        <v>2021</v>
      </c>
      <c r="AK112">
        <v>2021</v>
      </c>
      <c r="AP112" t="s">
        <v>110</v>
      </c>
      <c r="AQ112">
        <v>2021</v>
      </c>
      <c r="AR112" t="s">
        <v>110</v>
      </c>
      <c r="AS112">
        <v>2021</v>
      </c>
      <c r="AT112">
        <v>2021</v>
      </c>
      <c r="AY112" t="s">
        <v>109</v>
      </c>
      <c r="AZ112">
        <v>2021</v>
      </c>
    </row>
    <row r="113" spans="1:58" x14ac:dyDescent="0.2">
      <c r="A113" t="s">
        <v>125</v>
      </c>
      <c r="B113" t="s">
        <v>125</v>
      </c>
      <c r="C113" s="5">
        <v>45095</v>
      </c>
      <c r="D113" t="s">
        <v>81</v>
      </c>
      <c r="E113" t="s">
        <v>90</v>
      </c>
      <c r="F113" t="s">
        <v>83</v>
      </c>
      <c r="G113" t="s">
        <v>155</v>
      </c>
      <c r="I113" t="s">
        <v>85</v>
      </c>
      <c r="J113" t="s">
        <v>93</v>
      </c>
      <c r="K113" t="s">
        <v>458</v>
      </c>
      <c r="L113" t="s">
        <v>95</v>
      </c>
      <c r="M113">
        <v>42155</v>
      </c>
      <c r="N113" t="s">
        <v>455</v>
      </c>
      <c r="O113" t="s">
        <v>432</v>
      </c>
      <c r="P113" t="s">
        <v>188</v>
      </c>
      <c r="Q113" s="2">
        <v>300534062927000</v>
      </c>
      <c r="R113" s="3" t="s">
        <v>98</v>
      </c>
      <c r="S113" s="6">
        <v>213251</v>
      </c>
      <c r="T113" s="1" t="s">
        <v>109</v>
      </c>
      <c r="W113" t="s">
        <v>403</v>
      </c>
      <c r="X113">
        <v>2023</v>
      </c>
      <c r="Y113"/>
      <c r="Z113"/>
      <c r="AJ113">
        <v>2023</v>
      </c>
      <c r="AK113">
        <v>2023</v>
      </c>
      <c r="AP113" t="s">
        <v>110</v>
      </c>
      <c r="AQ113">
        <v>2021</v>
      </c>
      <c r="AR113" t="s">
        <v>110</v>
      </c>
      <c r="AS113">
        <v>2021</v>
      </c>
      <c r="AT113">
        <v>2023</v>
      </c>
      <c r="AY113" t="s">
        <v>111</v>
      </c>
      <c r="AZ113">
        <v>2023</v>
      </c>
    </row>
    <row r="114" spans="1:58" x14ac:dyDescent="0.2">
      <c r="A114" t="s">
        <v>125</v>
      </c>
      <c r="B114" t="s">
        <v>125</v>
      </c>
      <c r="C114" s="5">
        <v>45787</v>
      </c>
      <c r="D114" t="s">
        <v>81</v>
      </c>
      <c r="E114" t="s">
        <v>90</v>
      </c>
      <c r="F114" t="s">
        <v>83</v>
      </c>
      <c r="G114" t="s">
        <v>91</v>
      </c>
      <c r="I114" t="s">
        <v>85</v>
      </c>
      <c r="J114" t="s">
        <v>93</v>
      </c>
      <c r="K114" t="s">
        <v>126</v>
      </c>
      <c r="L114" t="s">
        <v>95</v>
      </c>
      <c r="M114">
        <v>10671</v>
      </c>
      <c r="N114" t="s">
        <v>105</v>
      </c>
      <c r="O114" t="s">
        <v>127</v>
      </c>
      <c r="P114" t="s">
        <v>114</v>
      </c>
      <c r="Q114" s="2">
        <v>300234061165160</v>
      </c>
      <c r="R114" s="3" t="s">
        <v>98</v>
      </c>
      <c r="S114" s="6">
        <v>171267</v>
      </c>
      <c r="T114" s="1">
        <v>2024</v>
      </c>
      <c r="U114" t="s">
        <v>99</v>
      </c>
      <c r="V114">
        <v>2025</v>
      </c>
      <c r="W114" t="s">
        <v>108</v>
      </c>
      <c r="X114">
        <v>2025</v>
      </c>
      <c r="Y114"/>
      <c r="Z114"/>
      <c r="AJ114">
        <v>2025</v>
      </c>
      <c r="AK114">
        <v>2025</v>
      </c>
      <c r="AN114">
        <v>2025</v>
      </c>
      <c r="AO114">
        <v>2025</v>
      </c>
      <c r="AP114" t="s">
        <v>110</v>
      </c>
      <c r="AQ114">
        <v>2025</v>
      </c>
      <c r="AR114" t="s">
        <v>110</v>
      </c>
      <c r="AS114">
        <v>2025</v>
      </c>
      <c r="AT114">
        <v>2025</v>
      </c>
      <c r="AY114" t="s">
        <v>111</v>
      </c>
      <c r="AZ114">
        <v>2025</v>
      </c>
      <c r="BF114" t="s">
        <v>367</v>
      </c>
    </row>
    <row r="115" spans="1:58" hidden="1" x14ac:dyDescent="0.2">
      <c r="A115" t="s">
        <v>407</v>
      </c>
      <c r="B115" t="s">
        <v>152</v>
      </c>
      <c r="C115" s="5">
        <v>38799</v>
      </c>
      <c r="D115" t="s">
        <v>81</v>
      </c>
      <c r="E115" t="s">
        <v>82</v>
      </c>
      <c r="F115" t="s">
        <v>83</v>
      </c>
      <c r="G115" t="s">
        <v>84</v>
      </c>
      <c r="I115" t="s">
        <v>85</v>
      </c>
      <c r="J115" t="s">
        <v>86</v>
      </c>
    </row>
    <row r="116" spans="1:58" hidden="1" x14ac:dyDescent="0.2">
      <c r="A116" t="s">
        <v>407</v>
      </c>
      <c r="B116" t="s">
        <v>152</v>
      </c>
      <c r="C116" s="5">
        <v>44732</v>
      </c>
      <c r="D116" t="s">
        <v>81</v>
      </c>
      <c r="E116" t="s">
        <v>82</v>
      </c>
      <c r="F116" t="s">
        <v>83</v>
      </c>
      <c r="G116" t="s">
        <v>84</v>
      </c>
      <c r="I116" t="s">
        <v>85</v>
      </c>
      <c r="J116" t="s">
        <v>88</v>
      </c>
    </row>
    <row r="117" spans="1:58" x14ac:dyDescent="0.2">
      <c r="A117" t="s">
        <v>125</v>
      </c>
      <c r="B117" t="s">
        <v>125</v>
      </c>
      <c r="C117" s="5">
        <v>46183</v>
      </c>
      <c r="D117" t="s">
        <v>81</v>
      </c>
      <c r="E117" t="s">
        <v>90</v>
      </c>
      <c r="F117" t="s">
        <v>83</v>
      </c>
      <c r="G117" t="s">
        <v>91</v>
      </c>
      <c r="I117" t="s">
        <v>85</v>
      </c>
      <c r="J117" t="s">
        <v>93</v>
      </c>
      <c r="K117" t="s">
        <v>126</v>
      </c>
      <c r="L117" t="s">
        <v>95</v>
      </c>
      <c r="M117">
        <v>10671</v>
      </c>
      <c r="N117" t="s">
        <v>105</v>
      </c>
      <c r="O117" t="s">
        <v>127</v>
      </c>
      <c r="P117" t="s">
        <v>114</v>
      </c>
      <c r="Q117" s="2">
        <v>300234061165160</v>
      </c>
      <c r="R117" s="3" t="s">
        <v>98</v>
      </c>
      <c r="S117" s="6">
        <v>171267</v>
      </c>
      <c r="T117" s="1">
        <v>2024</v>
      </c>
      <c r="U117" t="s">
        <v>99</v>
      </c>
      <c r="V117">
        <v>2025</v>
      </c>
      <c r="W117" t="s">
        <v>108</v>
      </c>
      <c r="X117">
        <v>2026</v>
      </c>
      <c r="AJ117" t="s">
        <v>128</v>
      </c>
      <c r="AK117">
        <v>2026</v>
      </c>
      <c r="AN117">
        <v>2025</v>
      </c>
      <c r="AO117">
        <v>2025</v>
      </c>
      <c r="AP117" t="s">
        <v>110</v>
      </c>
      <c r="AQ117">
        <v>2025</v>
      </c>
      <c r="AR117" t="s">
        <v>110</v>
      </c>
      <c r="AS117">
        <v>2025</v>
      </c>
      <c r="AT117">
        <v>2025</v>
      </c>
      <c r="AY117" t="s">
        <v>111</v>
      </c>
      <c r="AZ117">
        <v>2025</v>
      </c>
      <c r="BF117" t="s">
        <v>129</v>
      </c>
    </row>
    <row r="118" spans="1:58" x14ac:dyDescent="0.2">
      <c r="A118" t="s">
        <v>152</v>
      </c>
      <c r="B118" t="s">
        <v>152</v>
      </c>
      <c r="C118" s="5">
        <v>44732</v>
      </c>
      <c r="D118" t="s">
        <v>81</v>
      </c>
      <c r="E118" t="s">
        <v>90</v>
      </c>
      <c r="F118" t="s">
        <v>83</v>
      </c>
      <c r="G118" t="s">
        <v>155</v>
      </c>
      <c r="I118" t="s">
        <v>85</v>
      </c>
      <c r="J118" t="s">
        <v>86</v>
      </c>
      <c r="K118" t="s">
        <v>134</v>
      </c>
      <c r="L118" t="s">
        <v>95</v>
      </c>
      <c r="M118">
        <v>23654</v>
      </c>
      <c r="N118" t="s">
        <v>449</v>
      </c>
      <c r="O118" t="s">
        <v>480</v>
      </c>
      <c r="P118" t="s">
        <v>109</v>
      </c>
      <c r="Q118" s="2">
        <v>300534082417910</v>
      </c>
      <c r="R118" s="3" t="s">
        <v>98</v>
      </c>
      <c r="S118" s="6" t="s">
        <v>450</v>
      </c>
      <c r="W118" t="s">
        <v>403</v>
      </c>
      <c r="X118">
        <v>2022</v>
      </c>
      <c r="Y118"/>
      <c r="Z118"/>
      <c r="AJ118">
        <v>2022</v>
      </c>
      <c r="AK118">
        <v>2022</v>
      </c>
      <c r="AP118" t="s">
        <v>110</v>
      </c>
      <c r="AQ118">
        <v>2022</v>
      </c>
      <c r="AR118" t="s">
        <v>110</v>
      </c>
      <c r="AS118">
        <v>2022</v>
      </c>
      <c r="AT118">
        <v>2022</v>
      </c>
      <c r="AY118" t="s">
        <v>111</v>
      </c>
      <c r="AZ118">
        <v>2022</v>
      </c>
    </row>
    <row r="119" spans="1:58" x14ac:dyDescent="0.2">
      <c r="A119" t="s">
        <v>152</v>
      </c>
      <c r="B119" t="s">
        <v>152</v>
      </c>
      <c r="C119" s="5">
        <v>45108</v>
      </c>
      <c r="D119" t="s">
        <v>81</v>
      </c>
      <c r="E119" t="s">
        <v>90</v>
      </c>
      <c r="F119" t="s">
        <v>83</v>
      </c>
      <c r="G119" t="s">
        <v>155</v>
      </c>
      <c r="I119" t="s">
        <v>85</v>
      </c>
      <c r="J119" t="s">
        <v>93</v>
      </c>
      <c r="K119" t="s">
        <v>134</v>
      </c>
      <c r="L119" t="s">
        <v>95</v>
      </c>
      <c r="M119">
        <v>23654</v>
      </c>
      <c r="N119" t="s">
        <v>449</v>
      </c>
      <c r="O119" t="s">
        <v>432</v>
      </c>
      <c r="P119" t="s">
        <v>109</v>
      </c>
      <c r="Q119" s="2">
        <v>300534082417910</v>
      </c>
      <c r="R119" s="3" t="s">
        <v>98</v>
      </c>
      <c r="S119" s="6" t="s">
        <v>450</v>
      </c>
      <c r="W119" t="s">
        <v>403</v>
      </c>
      <c r="X119">
        <v>2022</v>
      </c>
      <c r="Y119"/>
      <c r="Z119"/>
      <c r="AJ119">
        <v>2022</v>
      </c>
      <c r="AK119">
        <v>2022</v>
      </c>
      <c r="AP119" t="s">
        <v>110</v>
      </c>
      <c r="AQ119">
        <v>2022</v>
      </c>
      <c r="AR119" t="s">
        <v>110</v>
      </c>
      <c r="AS119">
        <v>2022</v>
      </c>
      <c r="AT119">
        <v>2022</v>
      </c>
      <c r="AY119" t="s">
        <v>111</v>
      </c>
      <c r="AZ119">
        <v>2022</v>
      </c>
      <c r="BF119" t="s">
        <v>451</v>
      </c>
    </row>
    <row r="120" spans="1:58" x14ac:dyDescent="0.2">
      <c r="A120" t="s">
        <v>152</v>
      </c>
      <c r="B120" t="s">
        <v>152</v>
      </c>
      <c r="C120" s="5">
        <v>45428</v>
      </c>
      <c r="D120" t="s">
        <v>81</v>
      </c>
      <c r="E120" t="s">
        <v>90</v>
      </c>
      <c r="F120" t="s">
        <v>83</v>
      </c>
      <c r="G120" t="s">
        <v>91</v>
      </c>
      <c r="I120" t="s">
        <v>85</v>
      </c>
      <c r="J120" t="s">
        <v>93</v>
      </c>
      <c r="K120" t="s">
        <v>153</v>
      </c>
      <c r="L120" t="s">
        <v>95</v>
      </c>
      <c r="M120">
        <v>23809</v>
      </c>
      <c r="N120" t="s">
        <v>105</v>
      </c>
      <c r="O120" t="s">
        <v>97</v>
      </c>
      <c r="P120" t="s">
        <v>107</v>
      </c>
      <c r="Q120" s="2">
        <v>300534062417910</v>
      </c>
      <c r="R120" s="3" t="s">
        <v>98</v>
      </c>
      <c r="S120" s="6">
        <v>213148</v>
      </c>
      <c r="U120" t="s">
        <v>99</v>
      </c>
      <c r="V120">
        <v>2024</v>
      </c>
      <c r="W120" t="s">
        <v>108</v>
      </c>
      <c r="X120">
        <v>2024</v>
      </c>
      <c r="Y120"/>
      <c r="Z120"/>
      <c r="AJ120">
        <v>2024</v>
      </c>
      <c r="AK120">
        <v>2024</v>
      </c>
      <c r="AN120">
        <v>2024</v>
      </c>
      <c r="AO120">
        <v>2024</v>
      </c>
      <c r="AP120" t="s">
        <v>110</v>
      </c>
      <c r="AQ120">
        <v>2024</v>
      </c>
      <c r="AR120" t="s">
        <v>110</v>
      </c>
      <c r="AS120">
        <v>2024</v>
      </c>
      <c r="AT120">
        <v>2022</v>
      </c>
      <c r="AY120" t="s">
        <v>111</v>
      </c>
      <c r="AZ120">
        <v>2024</v>
      </c>
    </row>
    <row r="121" spans="1:58" x14ac:dyDescent="0.2">
      <c r="A121" t="s">
        <v>152</v>
      </c>
      <c r="B121" t="s">
        <v>152</v>
      </c>
      <c r="C121" s="5">
        <v>45821</v>
      </c>
      <c r="D121" t="s">
        <v>81</v>
      </c>
      <c r="E121" t="s">
        <v>90</v>
      </c>
      <c r="F121" t="s">
        <v>83</v>
      </c>
      <c r="G121" t="s">
        <v>91</v>
      </c>
      <c r="I121" t="s">
        <v>85</v>
      </c>
      <c r="J121" t="s">
        <v>93</v>
      </c>
      <c r="K121" t="s">
        <v>153</v>
      </c>
      <c r="L121" t="s">
        <v>95</v>
      </c>
      <c r="M121">
        <v>23809</v>
      </c>
      <c r="N121" t="s">
        <v>105</v>
      </c>
      <c r="O121" t="s">
        <v>97</v>
      </c>
      <c r="P121" t="s">
        <v>107</v>
      </c>
      <c r="Q121" s="2">
        <v>300534062417910</v>
      </c>
      <c r="R121" s="3" t="s">
        <v>98</v>
      </c>
      <c r="S121" s="6">
        <v>212895</v>
      </c>
      <c r="T121" s="1">
        <v>2025</v>
      </c>
      <c r="U121" t="s">
        <v>99</v>
      </c>
      <c r="V121">
        <v>2024</v>
      </c>
      <c r="W121" t="s">
        <v>108</v>
      </c>
      <c r="X121">
        <v>2025</v>
      </c>
      <c r="Y121"/>
      <c r="Z121"/>
      <c r="AJ121">
        <v>2025</v>
      </c>
      <c r="AK121">
        <v>2025</v>
      </c>
      <c r="AN121">
        <v>2024</v>
      </c>
      <c r="AO121">
        <v>2024</v>
      </c>
      <c r="AP121" t="s">
        <v>110</v>
      </c>
      <c r="AQ121">
        <v>2024</v>
      </c>
      <c r="AR121" t="s">
        <v>110</v>
      </c>
      <c r="AS121">
        <v>2024</v>
      </c>
      <c r="AT121">
        <v>2022</v>
      </c>
      <c r="AY121" t="s">
        <v>111</v>
      </c>
      <c r="AZ121">
        <v>2024</v>
      </c>
      <c r="BF121" t="s">
        <v>327</v>
      </c>
    </row>
    <row r="122" spans="1:58" x14ac:dyDescent="0.2">
      <c r="A122" t="s">
        <v>152</v>
      </c>
      <c r="B122" t="s">
        <v>152</v>
      </c>
      <c r="C122" s="5">
        <v>46178</v>
      </c>
      <c r="D122" t="s">
        <v>81</v>
      </c>
      <c r="E122" t="s">
        <v>90</v>
      </c>
      <c r="F122" t="s">
        <v>83</v>
      </c>
      <c r="G122" t="s">
        <v>91</v>
      </c>
      <c r="I122" t="s">
        <v>85</v>
      </c>
      <c r="J122" t="s">
        <v>93</v>
      </c>
      <c r="K122" t="s">
        <v>153</v>
      </c>
      <c r="L122" t="s">
        <v>95</v>
      </c>
      <c r="M122">
        <v>23809</v>
      </c>
      <c r="N122" t="s">
        <v>105</v>
      </c>
      <c r="O122" t="s">
        <v>97</v>
      </c>
      <c r="P122" t="s">
        <v>107</v>
      </c>
      <c r="Q122" s="2">
        <v>300534062417910</v>
      </c>
      <c r="R122" s="3" t="s">
        <v>98</v>
      </c>
      <c r="S122" s="6">
        <v>212895</v>
      </c>
      <c r="T122" s="1">
        <v>2025</v>
      </c>
      <c r="U122" t="s">
        <v>99</v>
      </c>
      <c r="V122">
        <v>2024</v>
      </c>
      <c r="W122" t="s">
        <v>108</v>
      </c>
      <c r="X122">
        <v>2025</v>
      </c>
      <c r="Y122"/>
      <c r="Z122"/>
      <c r="AJ122">
        <v>2026</v>
      </c>
      <c r="AK122">
        <v>2026</v>
      </c>
      <c r="AL122">
        <v>2026</v>
      </c>
      <c r="AN122">
        <v>2026</v>
      </c>
      <c r="AO122">
        <v>2026</v>
      </c>
      <c r="AP122" t="s">
        <v>110</v>
      </c>
      <c r="AQ122">
        <v>2024</v>
      </c>
      <c r="AR122" t="s">
        <v>110</v>
      </c>
      <c r="AS122">
        <v>2026</v>
      </c>
      <c r="AT122">
        <v>2022</v>
      </c>
      <c r="AY122" t="s">
        <v>111</v>
      </c>
      <c r="AZ122">
        <v>2024</v>
      </c>
    </row>
    <row r="123" spans="1:58" x14ac:dyDescent="0.2">
      <c r="A123" t="s">
        <v>201</v>
      </c>
      <c r="B123" t="s">
        <v>201</v>
      </c>
      <c r="C123" s="5">
        <v>44366</v>
      </c>
      <c r="D123" t="s">
        <v>81</v>
      </c>
      <c r="E123" t="s">
        <v>90</v>
      </c>
      <c r="F123" t="s">
        <v>83</v>
      </c>
      <c r="G123" t="s">
        <v>479</v>
      </c>
      <c r="I123" t="s">
        <v>85</v>
      </c>
      <c r="J123" t="s">
        <v>86</v>
      </c>
      <c r="K123" t="s">
        <v>134</v>
      </c>
      <c r="L123" t="s">
        <v>95</v>
      </c>
      <c r="M123">
        <v>23806</v>
      </c>
      <c r="N123" t="s">
        <v>449</v>
      </c>
      <c r="O123" t="s">
        <v>480</v>
      </c>
      <c r="P123" t="s">
        <v>109</v>
      </c>
      <c r="Q123" s="2">
        <v>300534062416350</v>
      </c>
      <c r="R123" s="3" t="s">
        <v>98</v>
      </c>
      <c r="S123" s="7">
        <v>212890</v>
      </c>
      <c r="T123" s="1">
        <v>2021</v>
      </c>
      <c r="W123" t="s">
        <v>481</v>
      </c>
      <c r="X123">
        <v>2021</v>
      </c>
      <c r="Y123"/>
      <c r="Z123"/>
      <c r="AJ123">
        <v>2021</v>
      </c>
      <c r="AK123">
        <v>2021</v>
      </c>
      <c r="AP123" t="s">
        <v>110</v>
      </c>
      <c r="AQ123">
        <v>2021</v>
      </c>
      <c r="AR123" t="s">
        <v>110</v>
      </c>
      <c r="AS123">
        <v>2021</v>
      </c>
      <c r="AT123">
        <v>2021</v>
      </c>
      <c r="AY123" t="s">
        <v>109</v>
      </c>
      <c r="AZ123">
        <v>2021</v>
      </c>
    </row>
    <row r="124" spans="1:58" x14ac:dyDescent="0.2">
      <c r="A124" t="s">
        <v>201</v>
      </c>
      <c r="B124" t="s">
        <v>201</v>
      </c>
      <c r="C124" s="5">
        <v>44735</v>
      </c>
      <c r="D124" t="s">
        <v>81</v>
      </c>
      <c r="E124" t="s">
        <v>90</v>
      </c>
      <c r="F124" t="s">
        <v>83</v>
      </c>
      <c r="G124" t="s">
        <v>479</v>
      </c>
      <c r="I124" t="s">
        <v>85</v>
      </c>
      <c r="J124" t="s">
        <v>93</v>
      </c>
      <c r="K124" t="s">
        <v>134</v>
      </c>
      <c r="L124" t="s">
        <v>95</v>
      </c>
      <c r="M124">
        <v>23806</v>
      </c>
      <c r="N124" t="s">
        <v>449</v>
      </c>
      <c r="O124" t="s">
        <v>480</v>
      </c>
      <c r="P124" t="s">
        <v>109</v>
      </c>
      <c r="Q124" s="2">
        <v>300534062416350</v>
      </c>
      <c r="R124" s="3" t="s">
        <v>98</v>
      </c>
      <c r="S124" s="7">
        <v>212890</v>
      </c>
      <c r="T124" s="1">
        <v>2021</v>
      </c>
      <c r="W124" t="s">
        <v>481</v>
      </c>
      <c r="X124">
        <v>2021</v>
      </c>
      <c r="Y124"/>
      <c r="Z124"/>
      <c r="AJ124">
        <v>2021</v>
      </c>
      <c r="AK124">
        <v>2021</v>
      </c>
      <c r="AP124" t="s">
        <v>110</v>
      </c>
      <c r="AQ124">
        <v>2021</v>
      </c>
      <c r="AR124" t="s">
        <v>110</v>
      </c>
      <c r="AS124">
        <v>2021</v>
      </c>
      <c r="AT124">
        <v>2021</v>
      </c>
      <c r="AY124" t="s">
        <v>109</v>
      </c>
      <c r="AZ124">
        <v>2021</v>
      </c>
    </row>
    <row r="125" spans="1:58" x14ac:dyDescent="0.2">
      <c r="A125" t="s">
        <v>201</v>
      </c>
      <c r="B125" t="s">
        <v>201</v>
      </c>
      <c r="C125" s="5">
        <v>45086</v>
      </c>
      <c r="D125" t="s">
        <v>81</v>
      </c>
      <c r="E125" t="s">
        <v>90</v>
      </c>
      <c r="F125" t="s">
        <v>83</v>
      </c>
      <c r="G125" t="s">
        <v>155</v>
      </c>
      <c r="I125" t="s">
        <v>85</v>
      </c>
      <c r="J125" t="s">
        <v>93</v>
      </c>
      <c r="K125" t="s">
        <v>202</v>
      </c>
      <c r="L125" t="s">
        <v>95</v>
      </c>
      <c r="M125">
        <v>41254</v>
      </c>
      <c r="N125" t="s">
        <v>455</v>
      </c>
      <c r="O125" t="s">
        <v>432</v>
      </c>
      <c r="P125" t="s">
        <v>188</v>
      </c>
      <c r="Q125" s="2">
        <v>300534063818800</v>
      </c>
      <c r="R125" s="3" t="s">
        <v>98</v>
      </c>
      <c r="S125" s="6">
        <v>212890</v>
      </c>
      <c r="T125" s="1">
        <v>2021</v>
      </c>
      <c r="W125" t="s">
        <v>403</v>
      </c>
      <c r="X125">
        <v>2023</v>
      </c>
      <c r="Y125"/>
      <c r="Z125"/>
      <c r="AJ125">
        <v>2023</v>
      </c>
      <c r="AK125">
        <v>2023</v>
      </c>
      <c r="AP125" t="s">
        <v>110</v>
      </c>
      <c r="AQ125">
        <v>2021</v>
      </c>
      <c r="AR125" t="s">
        <v>110</v>
      </c>
      <c r="AS125">
        <v>2023</v>
      </c>
      <c r="AT125">
        <v>2023</v>
      </c>
      <c r="AY125" t="s">
        <v>111</v>
      </c>
      <c r="AZ125">
        <v>2023</v>
      </c>
    </row>
    <row r="126" spans="1:58" x14ac:dyDescent="0.2">
      <c r="A126" t="s">
        <v>201</v>
      </c>
      <c r="B126" t="s">
        <v>201</v>
      </c>
      <c r="C126" s="5">
        <v>45433</v>
      </c>
      <c r="D126" t="s">
        <v>81</v>
      </c>
      <c r="E126" t="s">
        <v>90</v>
      </c>
      <c r="F126" t="s">
        <v>83</v>
      </c>
      <c r="G126" t="s">
        <v>155</v>
      </c>
      <c r="I126" t="s">
        <v>85</v>
      </c>
      <c r="J126" t="s">
        <v>93</v>
      </c>
      <c r="K126" t="s">
        <v>202</v>
      </c>
      <c r="L126" t="s">
        <v>95</v>
      </c>
      <c r="M126">
        <v>41254</v>
      </c>
      <c r="N126" t="s">
        <v>105</v>
      </c>
      <c r="O126" t="s">
        <v>223</v>
      </c>
      <c r="P126" t="s">
        <v>188</v>
      </c>
      <c r="Q126" s="2">
        <v>300534063818800</v>
      </c>
      <c r="R126" s="3" t="s">
        <v>98</v>
      </c>
      <c r="S126" s="6">
        <v>244328</v>
      </c>
      <c r="T126" s="1">
        <v>2024</v>
      </c>
      <c r="W126" t="s">
        <v>108</v>
      </c>
      <c r="X126">
        <v>2024</v>
      </c>
      <c r="Y126"/>
      <c r="Z126"/>
      <c r="AJ126">
        <v>2024</v>
      </c>
      <c r="AK126">
        <v>2024</v>
      </c>
      <c r="AP126" t="s">
        <v>110</v>
      </c>
      <c r="AQ126">
        <v>2021</v>
      </c>
      <c r="AR126" t="s">
        <v>110</v>
      </c>
      <c r="AS126">
        <v>2024</v>
      </c>
      <c r="AT126">
        <v>2023</v>
      </c>
      <c r="AY126" t="s">
        <v>111</v>
      </c>
      <c r="AZ126">
        <v>2024</v>
      </c>
    </row>
    <row r="127" spans="1:58" x14ac:dyDescent="0.2">
      <c r="A127" t="s">
        <v>201</v>
      </c>
      <c r="B127" t="s">
        <v>201</v>
      </c>
      <c r="C127" s="5">
        <v>45797</v>
      </c>
      <c r="D127" t="s">
        <v>81</v>
      </c>
      <c r="E127" t="s">
        <v>90</v>
      </c>
      <c r="F127" t="s">
        <v>83</v>
      </c>
      <c r="G127" t="s">
        <v>155</v>
      </c>
      <c r="I127" t="s">
        <v>85</v>
      </c>
      <c r="J127" t="s">
        <v>93</v>
      </c>
      <c r="K127" t="s">
        <v>202</v>
      </c>
      <c r="L127" t="s">
        <v>95</v>
      </c>
      <c r="M127">
        <v>41254</v>
      </c>
      <c r="N127" t="s">
        <v>105</v>
      </c>
      <c r="O127" t="s">
        <v>223</v>
      </c>
      <c r="P127" t="s">
        <v>188</v>
      </c>
      <c r="Q127" s="2">
        <v>300534063818800</v>
      </c>
      <c r="R127" s="3" t="s">
        <v>98</v>
      </c>
      <c r="S127" s="6">
        <v>244328</v>
      </c>
      <c r="T127" s="1">
        <v>2024</v>
      </c>
      <c r="W127" t="s">
        <v>108</v>
      </c>
      <c r="X127">
        <v>2024</v>
      </c>
      <c r="Y127"/>
      <c r="Z127"/>
      <c r="AJ127">
        <v>2025</v>
      </c>
      <c r="AK127">
        <v>2025</v>
      </c>
      <c r="AP127" t="s">
        <v>101</v>
      </c>
      <c r="AQ127">
        <v>2025</v>
      </c>
      <c r="AR127" t="s">
        <v>101</v>
      </c>
      <c r="AS127">
        <v>2025</v>
      </c>
      <c r="AT127">
        <v>2023</v>
      </c>
      <c r="AY127" t="s">
        <v>111</v>
      </c>
      <c r="AZ127">
        <v>2024</v>
      </c>
      <c r="BF127" t="s">
        <v>351</v>
      </c>
    </row>
    <row r="128" spans="1:58" x14ac:dyDescent="0.2">
      <c r="A128" t="s">
        <v>201</v>
      </c>
      <c r="B128" t="s">
        <v>201</v>
      </c>
      <c r="C128" s="5">
        <v>46143</v>
      </c>
      <c r="D128" t="s">
        <v>81</v>
      </c>
      <c r="E128" t="s">
        <v>90</v>
      </c>
      <c r="F128" t="s">
        <v>83</v>
      </c>
      <c r="G128" t="s">
        <v>155</v>
      </c>
      <c r="I128" t="s">
        <v>85</v>
      </c>
      <c r="J128" t="s">
        <v>93</v>
      </c>
      <c r="K128" t="s">
        <v>202</v>
      </c>
      <c r="L128" t="s">
        <v>95</v>
      </c>
      <c r="M128">
        <v>41254</v>
      </c>
      <c r="N128" t="s">
        <v>105</v>
      </c>
      <c r="O128" t="s">
        <v>157</v>
      </c>
      <c r="P128" t="s">
        <v>188</v>
      </c>
      <c r="Q128" s="2">
        <v>300534063818800</v>
      </c>
      <c r="R128" s="3" t="s">
        <v>98</v>
      </c>
      <c r="S128" s="6">
        <v>244328</v>
      </c>
      <c r="T128" s="1">
        <v>2024</v>
      </c>
      <c r="W128" t="s">
        <v>108</v>
      </c>
      <c r="X128">
        <v>2024</v>
      </c>
      <c r="Y128"/>
      <c r="Z128"/>
      <c r="AJ128">
        <v>2026</v>
      </c>
      <c r="AK128">
        <v>2026</v>
      </c>
      <c r="AL128">
        <v>2026</v>
      </c>
      <c r="AM128">
        <v>2026</v>
      </c>
      <c r="AP128" t="s">
        <v>101</v>
      </c>
      <c r="AQ128">
        <v>2026</v>
      </c>
      <c r="AR128" t="s">
        <v>101</v>
      </c>
      <c r="AS128">
        <v>2026</v>
      </c>
      <c r="AT128">
        <v>2023</v>
      </c>
      <c r="AY128" t="s">
        <v>102</v>
      </c>
      <c r="AZ128">
        <v>2026</v>
      </c>
      <c r="BF128" t="s">
        <v>203</v>
      </c>
    </row>
    <row r="129" spans="1:58" hidden="1" x14ac:dyDescent="0.2">
      <c r="A129" t="s">
        <v>413</v>
      </c>
      <c r="B129" t="s">
        <v>413</v>
      </c>
      <c r="C129">
        <v>2023</v>
      </c>
      <c r="D129" t="s">
        <v>385</v>
      </c>
      <c r="E129" t="s">
        <v>90</v>
      </c>
      <c r="F129" t="s">
        <v>250</v>
      </c>
      <c r="G129" t="s">
        <v>228</v>
      </c>
      <c r="H129" t="s">
        <v>239</v>
      </c>
      <c r="I129" t="s">
        <v>294</v>
      </c>
      <c r="J129" t="s">
        <v>86</v>
      </c>
      <c r="K129" t="s">
        <v>414</v>
      </c>
      <c r="O129" t="s">
        <v>309</v>
      </c>
      <c r="P129" t="s">
        <v>280</v>
      </c>
      <c r="Q129" s="2">
        <v>300534063819850</v>
      </c>
      <c r="R129" s="3" t="s">
        <v>98</v>
      </c>
      <c r="S129" s="6">
        <v>150711</v>
      </c>
      <c r="T129" s="1">
        <v>2023</v>
      </c>
      <c r="Y129"/>
      <c r="Z129"/>
      <c r="AC129" t="s">
        <v>109</v>
      </c>
      <c r="AY129" t="s">
        <v>246</v>
      </c>
      <c r="BF129" t="s">
        <v>415</v>
      </c>
    </row>
    <row r="130" spans="1:58" hidden="1" x14ac:dyDescent="0.2">
      <c r="A130" t="s">
        <v>416</v>
      </c>
      <c r="B130" t="s">
        <v>416</v>
      </c>
      <c r="C130">
        <v>2023</v>
      </c>
      <c r="D130" t="s">
        <v>385</v>
      </c>
      <c r="E130" t="s">
        <v>90</v>
      </c>
      <c r="F130" t="s">
        <v>205</v>
      </c>
      <c r="G130" t="s">
        <v>228</v>
      </c>
      <c r="H130" t="s">
        <v>239</v>
      </c>
      <c r="I130" t="s">
        <v>230</v>
      </c>
      <c r="J130" t="s">
        <v>168</v>
      </c>
      <c r="K130" t="s">
        <v>417</v>
      </c>
      <c r="O130" t="s">
        <v>309</v>
      </c>
      <c r="P130" t="s">
        <v>254</v>
      </c>
      <c r="Q130" s="2">
        <v>300534062923450</v>
      </c>
      <c r="R130" s="3" t="s">
        <v>98</v>
      </c>
      <c r="S130" s="6">
        <v>212889</v>
      </c>
      <c r="T130" s="1">
        <v>2023</v>
      </c>
      <c r="W130" t="s">
        <v>418</v>
      </c>
      <c r="Y130" t="s">
        <v>217</v>
      </c>
      <c r="Z130"/>
      <c r="AC130" t="s">
        <v>109</v>
      </c>
    </row>
    <row r="131" spans="1:58" hidden="1" x14ac:dyDescent="0.2">
      <c r="A131" t="s">
        <v>416</v>
      </c>
      <c r="B131" t="s">
        <v>416</v>
      </c>
      <c r="C131" s="4">
        <v>45918</v>
      </c>
      <c r="D131" t="s">
        <v>385</v>
      </c>
      <c r="E131" t="s">
        <v>90</v>
      </c>
      <c r="F131" t="s">
        <v>205</v>
      </c>
      <c r="J131" t="s">
        <v>168</v>
      </c>
      <c r="K131" t="s">
        <v>417</v>
      </c>
      <c r="O131" t="s">
        <v>242</v>
      </c>
      <c r="Q131" s="2">
        <v>300534062923450</v>
      </c>
      <c r="R131" s="3" t="s">
        <v>98</v>
      </c>
      <c r="S131" s="6">
        <v>212889</v>
      </c>
      <c r="T131" s="1">
        <v>2023</v>
      </c>
      <c r="AD131">
        <v>50281</v>
      </c>
      <c r="BF131" t="s">
        <v>419</v>
      </c>
    </row>
    <row r="132" spans="1:58" hidden="1" x14ac:dyDescent="0.2">
      <c r="A132" t="s">
        <v>420</v>
      </c>
      <c r="B132" t="s">
        <v>334</v>
      </c>
      <c r="C132" s="5">
        <v>45187</v>
      </c>
      <c r="D132" t="s">
        <v>81</v>
      </c>
      <c r="E132" t="s">
        <v>82</v>
      </c>
      <c r="F132" t="s">
        <v>250</v>
      </c>
      <c r="G132" t="s">
        <v>206</v>
      </c>
      <c r="I132" t="s">
        <v>230</v>
      </c>
      <c r="J132" t="s">
        <v>133</v>
      </c>
      <c r="Q132" s="2" t="s">
        <v>109</v>
      </c>
    </row>
    <row r="133" spans="1:58" hidden="1" x14ac:dyDescent="0.2">
      <c r="A133" t="s">
        <v>420</v>
      </c>
      <c r="B133" t="s">
        <v>334</v>
      </c>
      <c r="C133" s="5">
        <v>45815</v>
      </c>
      <c r="D133" t="s">
        <v>81</v>
      </c>
      <c r="E133" t="s">
        <v>82</v>
      </c>
      <c r="F133" t="s">
        <v>250</v>
      </c>
      <c r="G133" t="s">
        <v>206</v>
      </c>
      <c r="I133" t="s">
        <v>230</v>
      </c>
      <c r="J133" t="s">
        <v>133</v>
      </c>
      <c r="Q133" s="2" t="s">
        <v>109</v>
      </c>
    </row>
    <row r="134" spans="1:58" hidden="1" x14ac:dyDescent="0.2">
      <c r="A134" t="s">
        <v>420</v>
      </c>
      <c r="B134" t="s">
        <v>334</v>
      </c>
      <c r="C134" s="5">
        <v>39314</v>
      </c>
      <c r="D134" t="s">
        <v>81</v>
      </c>
      <c r="E134" t="s">
        <v>82</v>
      </c>
      <c r="F134" t="s">
        <v>250</v>
      </c>
      <c r="G134" t="s">
        <v>250</v>
      </c>
      <c r="I134" t="s">
        <v>230</v>
      </c>
      <c r="J134" t="s">
        <v>86</v>
      </c>
    </row>
    <row r="135" spans="1:58" x14ac:dyDescent="0.2">
      <c r="A135" t="s">
        <v>333</v>
      </c>
      <c r="B135" t="s">
        <v>334</v>
      </c>
      <c r="C135" s="5">
        <v>45815</v>
      </c>
      <c r="D135" t="s">
        <v>81</v>
      </c>
      <c r="E135" t="s">
        <v>90</v>
      </c>
      <c r="F135" t="s">
        <v>250</v>
      </c>
      <c r="G135" t="s">
        <v>228</v>
      </c>
      <c r="H135" t="s">
        <v>239</v>
      </c>
      <c r="I135" t="s">
        <v>230</v>
      </c>
      <c r="J135" t="s">
        <v>86</v>
      </c>
      <c r="K135" t="s">
        <v>335</v>
      </c>
      <c r="L135" t="s">
        <v>95</v>
      </c>
      <c r="M135">
        <v>55084</v>
      </c>
      <c r="N135" s="8" t="s">
        <v>336</v>
      </c>
      <c r="O135" t="s">
        <v>242</v>
      </c>
      <c r="P135" t="s">
        <v>254</v>
      </c>
      <c r="Q135" s="2">
        <v>300534063814740</v>
      </c>
      <c r="R135" s="3" t="s">
        <v>98</v>
      </c>
      <c r="S135" s="6" t="s">
        <v>337</v>
      </c>
      <c r="T135" s="1">
        <v>2024</v>
      </c>
      <c r="W135" t="s">
        <v>245</v>
      </c>
      <c r="X135">
        <v>2025</v>
      </c>
      <c r="Y135" s="1" t="s">
        <v>217</v>
      </c>
      <c r="Z135" s="1">
        <v>2025</v>
      </c>
      <c r="AA135">
        <v>2025</v>
      </c>
      <c r="AB135">
        <v>2025</v>
      </c>
      <c r="AC135">
        <v>2025</v>
      </c>
      <c r="AD135">
        <v>50204</v>
      </c>
      <c r="AE135" t="s">
        <v>110</v>
      </c>
      <c r="AF135">
        <v>2025</v>
      </c>
      <c r="AT135">
        <v>2025</v>
      </c>
      <c r="AY135" t="s">
        <v>246</v>
      </c>
      <c r="AZ135">
        <v>2025</v>
      </c>
    </row>
    <row r="136" spans="1:58" hidden="1" x14ac:dyDescent="0.2">
      <c r="A136" t="s">
        <v>425</v>
      </c>
      <c r="B136" t="s">
        <v>346</v>
      </c>
      <c r="C136" s="5">
        <v>45156</v>
      </c>
      <c r="D136" t="s">
        <v>81</v>
      </c>
      <c r="E136" t="s">
        <v>82</v>
      </c>
      <c r="F136" t="s">
        <v>250</v>
      </c>
      <c r="G136" t="s">
        <v>206</v>
      </c>
      <c r="I136" t="s">
        <v>230</v>
      </c>
      <c r="J136" t="s">
        <v>88</v>
      </c>
    </row>
    <row r="137" spans="1:58" hidden="1" x14ac:dyDescent="0.2">
      <c r="A137" t="s">
        <v>425</v>
      </c>
      <c r="B137" t="s">
        <v>346</v>
      </c>
      <c r="C137" s="5">
        <v>39314</v>
      </c>
      <c r="D137" t="s">
        <v>81</v>
      </c>
      <c r="E137" t="s">
        <v>82</v>
      </c>
      <c r="F137" t="s">
        <v>250</v>
      </c>
      <c r="G137" t="s">
        <v>206</v>
      </c>
      <c r="I137" t="s">
        <v>230</v>
      </c>
      <c r="J137" t="s">
        <v>86</v>
      </c>
    </row>
    <row r="138" spans="1:58" x14ac:dyDescent="0.2">
      <c r="A138" t="s">
        <v>333</v>
      </c>
      <c r="B138" t="s">
        <v>334</v>
      </c>
      <c r="C138" s="5">
        <v>46195</v>
      </c>
      <c r="D138" t="s">
        <v>81</v>
      </c>
      <c r="E138" t="s">
        <v>90</v>
      </c>
      <c r="F138" t="s">
        <v>250</v>
      </c>
      <c r="G138" t="s">
        <v>228</v>
      </c>
      <c r="H138" t="s">
        <v>239</v>
      </c>
      <c r="I138" t="s">
        <v>230</v>
      </c>
      <c r="J138" t="s">
        <v>422</v>
      </c>
      <c r="K138" t="s">
        <v>335</v>
      </c>
      <c r="L138" t="s">
        <v>95</v>
      </c>
      <c r="M138">
        <v>55084</v>
      </c>
      <c r="N138" s="8" t="s">
        <v>336</v>
      </c>
      <c r="O138" t="s">
        <v>242</v>
      </c>
      <c r="P138" t="s">
        <v>254</v>
      </c>
      <c r="Q138" s="2">
        <v>300534063814740</v>
      </c>
      <c r="R138" s="3" t="s">
        <v>98</v>
      </c>
      <c r="S138" s="6" t="s">
        <v>337</v>
      </c>
      <c r="T138" s="1">
        <v>2024</v>
      </c>
      <c r="W138" t="s">
        <v>245</v>
      </c>
      <c r="X138">
        <v>2025</v>
      </c>
      <c r="Y138" s="1" t="s">
        <v>217</v>
      </c>
      <c r="Z138" s="1">
        <v>2025</v>
      </c>
      <c r="AA138">
        <v>2026</v>
      </c>
      <c r="AB138">
        <v>2026</v>
      </c>
      <c r="AC138">
        <v>2026</v>
      </c>
      <c r="AD138">
        <v>50204</v>
      </c>
      <c r="AE138" t="s">
        <v>110</v>
      </c>
      <c r="AF138">
        <v>2026</v>
      </c>
      <c r="AT138">
        <v>2025</v>
      </c>
      <c r="AY138" t="s">
        <v>246</v>
      </c>
      <c r="AZ138">
        <v>2025</v>
      </c>
      <c r="BE138" t="s">
        <v>663</v>
      </c>
      <c r="BF138" t="s">
        <v>664</v>
      </c>
    </row>
    <row r="139" spans="1:58" x14ac:dyDescent="0.2">
      <c r="A139" t="s">
        <v>345</v>
      </c>
      <c r="B139" t="s">
        <v>346</v>
      </c>
      <c r="C139" s="5">
        <v>44792</v>
      </c>
      <c r="D139" t="s">
        <v>81</v>
      </c>
      <c r="E139" t="s">
        <v>90</v>
      </c>
      <c r="F139" t="s">
        <v>250</v>
      </c>
      <c r="G139" t="s">
        <v>228</v>
      </c>
      <c r="H139" t="s">
        <v>476</v>
      </c>
      <c r="I139" t="s">
        <v>230</v>
      </c>
      <c r="J139" t="s">
        <v>168</v>
      </c>
      <c r="K139" s="2" t="s">
        <v>124</v>
      </c>
      <c r="L139" s="2" t="s">
        <v>124</v>
      </c>
      <c r="M139" s="2" t="s">
        <v>124</v>
      </c>
      <c r="N139" s="2" t="s">
        <v>124</v>
      </c>
      <c r="O139" s="2" t="s">
        <v>124</v>
      </c>
      <c r="P139" s="2" t="s">
        <v>124</v>
      </c>
      <c r="Q139" s="2" t="s">
        <v>109</v>
      </c>
      <c r="R139" s="3" t="s">
        <v>98</v>
      </c>
      <c r="S139" s="6" t="s">
        <v>438</v>
      </c>
      <c r="T139" s="1">
        <v>2021</v>
      </c>
      <c r="W139" t="s">
        <v>245</v>
      </c>
      <c r="X139" t="s">
        <v>344</v>
      </c>
      <c r="Y139" s="1" t="s">
        <v>217</v>
      </c>
      <c r="Z139" s="1">
        <v>2021</v>
      </c>
      <c r="AA139">
        <v>2022</v>
      </c>
      <c r="AB139">
        <v>2022</v>
      </c>
      <c r="AC139">
        <v>2022</v>
      </c>
      <c r="AD139" s="1">
        <v>5016</v>
      </c>
      <c r="AE139" t="s">
        <v>110</v>
      </c>
      <c r="AF139" t="s">
        <v>344</v>
      </c>
      <c r="AT139" t="s">
        <v>344</v>
      </c>
      <c r="AY139" t="s">
        <v>246</v>
      </c>
      <c r="AZ139" t="s">
        <v>349</v>
      </c>
      <c r="BE139" t="s">
        <v>477</v>
      </c>
    </row>
    <row r="140" spans="1:58" x14ac:dyDescent="0.2">
      <c r="A140" t="s">
        <v>345</v>
      </c>
      <c r="B140" t="s">
        <v>346</v>
      </c>
      <c r="C140" s="5">
        <v>45156</v>
      </c>
      <c r="D140" t="s">
        <v>81</v>
      </c>
      <c r="E140" t="s">
        <v>90</v>
      </c>
      <c r="F140" t="s">
        <v>250</v>
      </c>
      <c r="G140" t="s">
        <v>228</v>
      </c>
      <c r="H140" t="s">
        <v>239</v>
      </c>
      <c r="I140" t="s">
        <v>230</v>
      </c>
      <c r="J140" t="s">
        <v>168</v>
      </c>
      <c r="K140" t="s">
        <v>347</v>
      </c>
      <c r="L140" t="s">
        <v>95</v>
      </c>
      <c r="M140">
        <v>41256</v>
      </c>
      <c r="N140" t="s">
        <v>336</v>
      </c>
      <c r="O140" t="s">
        <v>433</v>
      </c>
      <c r="P140" t="s">
        <v>254</v>
      </c>
      <c r="Q140" s="2">
        <v>300534063817730</v>
      </c>
      <c r="R140" s="3" t="s">
        <v>98</v>
      </c>
      <c r="S140" s="6" t="s">
        <v>438</v>
      </c>
      <c r="T140" s="1">
        <v>2021</v>
      </c>
      <c r="W140" t="s">
        <v>245</v>
      </c>
      <c r="X140">
        <v>2023</v>
      </c>
      <c r="Y140" s="1" t="s">
        <v>217</v>
      </c>
      <c r="Z140" s="1">
        <v>2021</v>
      </c>
      <c r="AA140">
        <v>2023</v>
      </c>
      <c r="AB140">
        <v>2023</v>
      </c>
      <c r="AC140">
        <v>2023</v>
      </c>
      <c r="AD140" s="1">
        <v>5016</v>
      </c>
      <c r="AE140" t="s">
        <v>110</v>
      </c>
      <c r="AF140" t="s">
        <v>344</v>
      </c>
      <c r="AT140">
        <v>2023</v>
      </c>
      <c r="AY140" t="s">
        <v>246</v>
      </c>
      <c r="AZ140" t="s">
        <v>349</v>
      </c>
    </row>
    <row r="141" spans="1:58" x14ac:dyDescent="0.2">
      <c r="A141" t="s">
        <v>345</v>
      </c>
      <c r="B141" t="s">
        <v>346</v>
      </c>
      <c r="C141" s="5">
        <v>45815</v>
      </c>
      <c r="D141" t="s">
        <v>81</v>
      </c>
      <c r="E141" t="s">
        <v>90</v>
      </c>
      <c r="F141" t="s">
        <v>250</v>
      </c>
      <c r="G141" t="s">
        <v>228</v>
      </c>
      <c r="H141" t="s">
        <v>239</v>
      </c>
      <c r="I141" t="s">
        <v>230</v>
      </c>
      <c r="J141" t="s">
        <v>168</v>
      </c>
      <c r="K141" t="s">
        <v>347</v>
      </c>
      <c r="L141" t="s">
        <v>95</v>
      </c>
      <c r="M141">
        <v>41256</v>
      </c>
      <c r="N141" t="s">
        <v>336</v>
      </c>
      <c r="O141" t="s">
        <v>242</v>
      </c>
      <c r="P141" t="s">
        <v>254</v>
      </c>
      <c r="Q141" s="2">
        <v>300534063817730</v>
      </c>
      <c r="R141" s="3" t="s">
        <v>98</v>
      </c>
      <c r="S141" s="6" t="s">
        <v>348</v>
      </c>
      <c r="T141" s="1">
        <v>2025</v>
      </c>
      <c r="W141" t="s">
        <v>245</v>
      </c>
      <c r="X141">
        <v>2025</v>
      </c>
      <c r="Y141" s="1" t="s">
        <v>217</v>
      </c>
      <c r="Z141" s="1">
        <v>2025</v>
      </c>
      <c r="AA141">
        <v>2025</v>
      </c>
      <c r="AB141">
        <v>2025</v>
      </c>
      <c r="AC141">
        <v>2025</v>
      </c>
      <c r="AD141">
        <v>50278</v>
      </c>
      <c r="AE141" t="s">
        <v>110</v>
      </c>
      <c r="AF141" t="s">
        <v>344</v>
      </c>
      <c r="AT141">
        <v>2023</v>
      </c>
      <c r="AY141" t="s">
        <v>246</v>
      </c>
      <c r="AZ141" t="s">
        <v>349</v>
      </c>
      <c r="BF141" t="s">
        <v>350</v>
      </c>
    </row>
    <row r="142" spans="1:58" hidden="1" x14ac:dyDescent="0.2">
      <c r="A142" t="s">
        <v>284</v>
      </c>
      <c r="B142" t="s">
        <v>284</v>
      </c>
      <c r="C142" s="5">
        <v>45536</v>
      </c>
      <c r="D142" t="s">
        <v>81</v>
      </c>
      <c r="E142" t="s">
        <v>82</v>
      </c>
      <c r="F142" t="s">
        <v>250</v>
      </c>
      <c r="G142" t="s">
        <v>206</v>
      </c>
      <c r="I142" t="s">
        <v>230</v>
      </c>
      <c r="J142" t="s">
        <v>88</v>
      </c>
    </row>
    <row r="143" spans="1:58" hidden="1" x14ac:dyDescent="0.2">
      <c r="A143" t="s">
        <v>284</v>
      </c>
      <c r="B143" t="s">
        <v>284</v>
      </c>
      <c r="C143" s="5">
        <v>39318</v>
      </c>
      <c r="D143" t="s">
        <v>81</v>
      </c>
      <c r="E143" t="s">
        <v>82</v>
      </c>
      <c r="F143" t="s">
        <v>250</v>
      </c>
      <c r="G143" t="s">
        <v>206</v>
      </c>
      <c r="I143" t="s">
        <v>230</v>
      </c>
      <c r="J143" t="s">
        <v>86</v>
      </c>
    </row>
    <row r="144" spans="1:58" x14ac:dyDescent="0.2">
      <c r="A144" t="s">
        <v>665</v>
      </c>
      <c r="B144" t="s">
        <v>346</v>
      </c>
      <c r="C144" s="5">
        <v>46197</v>
      </c>
      <c r="D144" t="s">
        <v>81</v>
      </c>
      <c r="E144" t="s">
        <v>90</v>
      </c>
      <c r="F144" t="s">
        <v>250</v>
      </c>
      <c r="G144" t="s">
        <v>228</v>
      </c>
      <c r="H144" t="s">
        <v>239</v>
      </c>
      <c r="I144" t="s">
        <v>230</v>
      </c>
      <c r="J144" t="s">
        <v>168</v>
      </c>
      <c r="K144" t="s">
        <v>347</v>
      </c>
      <c r="L144" t="s">
        <v>95</v>
      </c>
      <c r="M144">
        <v>41256</v>
      </c>
      <c r="N144" t="s">
        <v>336</v>
      </c>
      <c r="O144" t="s">
        <v>242</v>
      </c>
      <c r="P144" t="s">
        <v>254</v>
      </c>
      <c r="Q144" s="2">
        <v>300534063817730</v>
      </c>
      <c r="R144" s="3" t="s">
        <v>98</v>
      </c>
      <c r="S144" s="6" t="s">
        <v>348</v>
      </c>
      <c r="T144" s="1">
        <v>2025</v>
      </c>
      <c r="W144" t="s">
        <v>245</v>
      </c>
      <c r="X144">
        <v>2026</v>
      </c>
      <c r="Y144" s="1" t="s">
        <v>217</v>
      </c>
      <c r="Z144" s="1">
        <v>2026</v>
      </c>
      <c r="AA144">
        <v>2026</v>
      </c>
      <c r="AB144">
        <v>2026</v>
      </c>
      <c r="AC144">
        <v>2026</v>
      </c>
      <c r="AD144" t="s">
        <v>623</v>
      </c>
      <c r="AF144" t="s">
        <v>344</v>
      </c>
      <c r="AT144">
        <v>2023</v>
      </c>
      <c r="AY144" t="s">
        <v>246</v>
      </c>
      <c r="AZ144">
        <v>2026</v>
      </c>
      <c r="BF144" t="s">
        <v>666</v>
      </c>
    </row>
    <row r="145" spans="1:58" x14ac:dyDescent="0.2">
      <c r="A145" t="s">
        <v>283</v>
      </c>
      <c r="B145" t="s">
        <v>284</v>
      </c>
      <c r="C145" s="5">
        <v>44803</v>
      </c>
      <c r="D145" t="s">
        <v>81</v>
      </c>
      <c r="E145" t="s">
        <v>90</v>
      </c>
      <c r="F145" t="s">
        <v>250</v>
      </c>
      <c r="G145" t="s">
        <v>228</v>
      </c>
      <c r="H145" t="s">
        <v>239</v>
      </c>
      <c r="I145" t="s">
        <v>230</v>
      </c>
      <c r="J145" t="s">
        <v>86</v>
      </c>
      <c r="K145" t="s">
        <v>109</v>
      </c>
      <c r="L145" t="s">
        <v>95</v>
      </c>
      <c r="M145">
        <v>35295</v>
      </c>
      <c r="N145" t="s">
        <v>364</v>
      </c>
      <c r="O145" t="s">
        <v>475</v>
      </c>
      <c r="P145" t="s">
        <v>280</v>
      </c>
      <c r="Q145" s="2">
        <v>300534063815540</v>
      </c>
      <c r="R145" s="3" t="s">
        <v>98</v>
      </c>
      <c r="S145" s="6">
        <v>212886</v>
      </c>
      <c r="T145" s="1">
        <v>2021</v>
      </c>
      <c r="W145" t="s">
        <v>435</v>
      </c>
      <c r="X145">
        <v>2022</v>
      </c>
      <c r="Y145" s="1" t="s">
        <v>435</v>
      </c>
      <c r="Z145" s="1">
        <v>2022</v>
      </c>
      <c r="AA145">
        <v>2022</v>
      </c>
      <c r="AB145">
        <v>2022</v>
      </c>
      <c r="AC145">
        <v>2022</v>
      </c>
      <c r="AD145" s="1" t="s">
        <v>124</v>
      </c>
      <c r="AE145" t="s">
        <v>110</v>
      </c>
      <c r="AF145">
        <v>2022</v>
      </c>
      <c r="AT145">
        <v>2022</v>
      </c>
      <c r="AY145" t="s">
        <v>246</v>
      </c>
      <c r="AZ145">
        <v>2022</v>
      </c>
    </row>
    <row r="146" spans="1:58" x14ac:dyDescent="0.2">
      <c r="A146" t="s">
        <v>283</v>
      </c>
      <c r="B146" t="s">
        <v>284</v>
      </c>
      <c r="C146" s="5">
        <v>45170</v>
      </c>
      <c r="D146" t="s">
        <v>81</v>
      </c>
      <c r="E146" t="s">
        <v>90</v>
      </c>
      <c r="F146" t="s">
        <v>250</v>
      </c>
      <c r="G146" t="s">
        <v>228</v>
      </c>
      <c r="H146" t="s">
        <v>239</v>
      </c>
      <c r="I146" t="s">
        <v>230</v>
      </c>
      <c r="J146" t="s">
        <v>168</v>
      </c>
      <c r="K146" t="s">
        <v>109</v>
      </c>
      <c r="L146" t="s">
        <v>95</v>
      </c>
      <c r="M146">
        <v>35295</v>
      </c>
      <c r="N146" t="s">
        <v>364</v>
      </c>
      <c r="O146" t="s">
        <v>434</v>
      </c>
      <c r="P146" t="s">
        <v>280</v>
      </c>
      <c r="Q146" s="2">
        <v>300534063815540</v>
      </c>
      <c r="R146" s="3" t="s">
        <v>98</v>
      </c>
      <c r="S146" s="6">
        <v>212886</v>
      </c>
      <c r="T146" s="1">
        <v>2021</v>
      </c>
      <c r="W146" t="s">
        <v>435</v>
      </c>
      <c r="X146">
        <v>2022</v>
      </c>
      <c r="Y146" s="1" t="s">
        <v>435</v>
      </c>
      <c r="Z146" s="1">
        <v>2022</v>
      </c>
      <c r="AA146">
        <v>2023</v>
      </c>
      <c r="AB146">
        <v>2023</v>
      </c>
      <c r="AC146">
        <v>2023</v>
      </c>
      <c r="AD146" s="1" t="s">
        <v>124</v>
      </c>
      <c r="AE146" t="s">
        <v>110</v>
      </c>
      <c r="AF146">
        <v>2022</v>
      </c>
      <c r="AT146">
        <v>2022</v>
      </c>
      <c r="AY146" t="s">
        <v>246</v>
      </c>
      <c r="AZ146">
        <v>2022</v>
      </c>
    </row>
    <row r="147" spans="1:58" x14ac:dyDescent="0.2">
      <c r="A147" t="s">
        <v>283</v>
      </c>
      <c r="B147" t="s">
        <v>284</v>
      </c>
      <c r="C147" s="5">
        <v>45536</v>
      </c>
      <c r="D147" t="s">
        <v>81</v>
      </c>
      <c r="E147" t="s">
        <v>90</v>
      </c>
      <c r="F147" t="s">
        <v>250</v>
      </c>
      <c r="G147" t="s">
        <v>228</v>
      </c>
      <c r="H147" t="s">
        <v>239</v>
      </c>
      <c r="I147" t="s">
        <v>230</v>
      </c>
      <c r="J147" t="s">
        <v>168</v>
      </c>
      <c r="K147" t="s">
        <v>109</v>
      </c>
      <c r="L147" t="s">
        <v>95</v>
      </c>
      <c r="M147">
        <v>35295</v>
      </c>
      <c r="N147" t="s">
        <v>105</v>
      </c>
      <c r="O147" t="s">
        <v>242</v>
      </c>
      <c r="P147" t="s">
        <v>280</v>
      </c>
      <c r="Q147" s="2">
        <v>300534063815540</v>
      </c>
      <c r="R147" s="3" t="s">
        <v>98</v>
      </c>
      <c r="S147" s="6">
        <v>212886</v>
      </c>
      <c r="T147" s="1">
        <v>2021</v>
      </c>
      <c r="W147" t="s">
        <v>245</v>
      </c>
      <c r="X147">
        <v>2024</v>
      </c>
      <c r="Y147" s="1" t="s">
        <v>217</v>
      </c>
      <c r="Z147" s="1">
        <v>2024</v>
      </c>
      <c r="AA147">
        <v>2024</v>
      </c>
      <c r="AB147">
        <v>2024</v>
      </c>
      <c r="AC147">
        <v>2024</v>
      </c>
      <c r="AD147">
        <v>5087</v>
      </c>
      <c r="AE147" t="s">
        <v>110</v>
      </c>
      <c r="AF147">
        <v>2022</v>
      </c>
      <c r="AT147">
        <v>2022</v>
      </c>
      <c r="AY147" t="s">
        <v>246</v>
      </c>
      <c r="AZ147">
        <v>2022</v>
      </c>
    </row>
    <row r="148" spans="1:58" x14ac:dyDescent="0.2">
      <c r="A148" t="s">
        <v>283</v>
      </c>
      <c r="B148" t="s">
        <v>284</v>
      </c>
      <c r="C148" s="5">
        <v>45771</v>
      </c>
      <c r="D148" t="s">
        <v>81</v>
      </c>
      <c r="E148" t="s">
        <v>90</v>
      </c>
      <c r="F148" t="s">
        <v>250</v>
      </c>
      <c r="G148" t="s">
        <v>228</v>
      </c>
      <c r="H148" t="s">
        <v>239</v>
      </c>
      <c r="I148" t="s">
        <v>230</v>
      </c>
      <c r="J148" t="s">
        <v>168</v>
      </c>
      <c r="K148" t="s">
        <v>109</v>
      </c>
      <c r="L148" t="s">
        <v>95</v>
      </c>
      <c r="M148">
        <v>35295</v>
      </c>
      <c r="N148" t="s">
        <v>105</v>
      </c>
      <c r="O148" t="s">
        <v>242</v>
      </c>
      <c r="P148" t="s">
        <v>280</v>
      </c>
      <c r="Q148" s="2">
        <v>300534063815540</v>
      </c>
      <c r="R148" s="3" t="s">
        <v>98</v>
      </c>
      <c r="S148" s="6">
        <v>212886</v>
      </c>
      <c r="T148" s="1">
        <v>2021</v>
      </c>
      <c r="W148" t="s">
        <v>245</v>
      </c>
      <c r="X148">
        <v>2024</v>
      </c>
      <c r="Y148" s="1" t="s">
        <v>217</v>
      </c>
      <c r="Z148" s="1">
        <v>2025</v>
      </c>
      <c r="AA148">
        <v>2025</v>
      </c>
      <c r="AB148">
        <v>2024</v>
      </c>
      <c r="AC148">
        <v>2024</v>
      </c>
      <c r="AD148">
        <v>50118</v>
      </c>
      <c r="AE148" t="s">
        <v>110</v>
      </c>
      <c r="AF148">
        <v>2022</v>
      </c>
      <c r="AT148">
        <v>2022</v>
      </c>
      <c r="AY148" t="s">
        <v>246</v>
      </c>
      <c r="AZ148">
        <v>2022</v>
      </c>
    </row>
    <row r="149" spans="1:58" x14ac:dyDescent="0.2">
      <c r="A149" t="s">
        <v>283</v>
      </c>
      <c r="B149" t="s">
        <v>284</v>
      </c>
      <c r="C149" s="5">
        <v>45902</v>
      </c>
      <c r="D149" t="s">
        <v>81</v>
      </c>
      <c r="E149" t="s">
        <v>90</v>
      </c>
      <c r="F149" t="s">
        <v>250</v>
      </c>
      <c r="G149" t="s">
        <v>228</v>
      </c>
      <c r="H149" t="s">
        <v>239</v>
      </c>
      <c r="I149" t="s">
        <v>230</v>
      </c>
      <c r="J149" t="s">
        <v>168</v>
      </c>
      <c r="K149" t="s">
        <v>285</v>
      </c>
      <c r="L149" t="s">
        <v>118</v>
      </c>
      <c r="M149">
        <v>71370</v>
      </c>
      <c r="N149" t="s">
        <v>143</v>
      </c>
      <c r="O149" t="s">
        <v>242</v>
      </c>
      <c r="P149" t="s">
        <v>243</v>
      </c>
      <c r="Q149" s="2">
        <v>300534061627590</v>
      </c>
      <c r="R149" s="3" t="s">
        <v>98</v>
      </c>
      <c r="S149" s="6">
        <v>212886</v>
      </c>
      <c r="T149" s="1">
        <v>2021</v>
      </c>
      <c r="W149" t="s">
        <v>245</v>
      </c>
      <c r="X149">
        <v>2024</v>
      </c>
      <c r="Y149" s="1" t="s">
        <v>217</v>
      </c>
      <c r="Z149" s="1">
        <v>2025</v>
      </c>
      <c r="AA149">
        <v>2025</v>
      </c>
      <c r="AB149">
        <v>2025</v>
      </c>
      <c r="AC149">
        <v>2024</v>
      </c>
      <c r="AD149">
        <v>50308</v>
      </c>
      <c r="AE149" t="s">
        <v>110</v>
      </c>
      <c r="AF149">
        <v>2022</v>
      </c>
      <c r="AT149">
        <v>2022</v>
      </c>
      <c r="AY149" t="s">
        <v>246</v>
      </c>
      <c r="AZ149">
        <v>2022</v>
      </c>
      <c r="BF149" t="s">
        <v>286</v>
      </c>
    </row>
    <row r="150" spans="1:58" hidden="1" x14ac:dyDescent="0.2">
      <c r="A150" t="s">
        <v>274</v>
      </c>
      <c r="B150" t="s">
        <v>274</v>
      </c>
      <c r="C150" s="5">
        <v>42593</v>
      </c>
      <c r="D150" t="s">
        <v>81</v>
      </c>
      <c r="E150" t="s">
        <v>82</v>
      </c>
      <c r="F150" t="s">
        <v>250</v>
      </c>
      <c r="G150" t="s">
        <v>206</v>
      </c>
      <c r="I150" t="s">
        <v>230</v>
      </c>
      <c r="J150" t="s">
        <v>86</v>
      </c>
    </row>
    <row r="151" spans="1:58" hidden="1" x14ac:dyDescent="0.2">
      <c r="A151" t="s">
        <v>274</v>
      </c>
      <c r="B151" t="s">
        <v>274</v>
      </c>
      <c r="C151" s="5">
        <v>45170</v>
      </c>
      <c r="D151" t="s">
        <v>81</v>
      </c>
      <c r="E151" t="s">
        <v>82</v>
      </c>
      <c r="F151" t="s">
        <v>250</v>
      </c>
      <c r="G151" t="s">
        <v>206</v>
      </c>
      <c r="I151" t="s">
        <v>230</v>
      </c>
      <c r="J151" t="s">
        <v>88</v>
      </c>
    </row>
    <row r="152" spans="1:58" x14ac:dyDescent="0.2">
      <c r="A152" t="s">
        <v>283</v>
      </c>
      <c r="B152" t="s">
        <v>284</v>
      </c>
      <c r="C152" s="5">
        <v>46264</v>
      </c>
      <c r="D152" t="s">
        <v>81</v>
      </c>
      <c r="E152" t="s">
        <v>90</v>
      </c>
      <c r="F152" t="s">
        <v>250</v>
      </c>
      <c r="G152" t="s">
        <v>228</v>
      </c>
      <c r="H152" t="s">
        <v>239</v>
      </c>
      <c r="I152" t="s">
        <v>230</v>
      </c>
      <c r="J152" t="s">
        <v>168</v>
      </c>
      <c r="K152" t="s">
        <v>285</v>
      </c>
      <c r="L152" t="s">
        <v>118</v>
      </c>
      <c r="M152">
        <v>71370</v>
      </c>
      <c r="N152" t="s">
        <v>143</v>
      </c>
      <c r="O152" t="s">
        <v>242</v>
      </c>
      <c r="P152" t="s">
        <v>243</v>
      </c>
      <c r="Q152" s="2">
        <v>300534061627590</v>
      </c>
      <c r="R152" s="3" t="s">
        <v>98</v>
      </c>
      <c r="S152" s="6" t="s">
        <v>603</v>
      </c>
      <c r="T152" s="1">
        <v>2026</v>
      </c>
      <c r="W152" t="s">
        <v>245</v>
      </c>
      <c r="X152">
        <v>2024</v>
      </c>
      <c r="Y152" s="1" t="s">
        <v>217</v>
      </c>
      <c r="Z152" s="1">
        <v>2026</v>
      </c>
      <c r="AA152">
        <v>2026</v>
      </c>
      <c r="AB152">
        <v>2026</v>
      </c>
      <c r="AC152">
        <v>2026</v>
      </c>
      <c r="AD152" t="s">
        <v>633</v>
      </c>
      <c r="AE152" t="s">
        <v>110</v>
      </c>
      <c r="AF152">
        <v>2022</v>
      </c>
      <c r="AT152">
        <v>2022</v>
      </c>
      <c r="AY152" t="s">
        <v>246</v>
      </c>
      <c r="AZ152">
        <v>2022</v>
      </c>
      <c r="BA152" t="s">
        <v>678</v>
      </c>
      <c r="BB152">
        <v>2026</v>
      </c>
      <c r="BF152" t="s">
        <v>679</v>
      </c>
    </row>
    <row r="153" spans="1:58" x14ac:dyDescent="0.2">
      <c r="A153" t="s">
        <v>273</v>
      </c>
      <c r="B153" t="s">
        <v>274</v>
      </c>
      <c r="C153" s="5">
        <v>45170</v>
      </c>
      <c r="D153" t="s">
        <v>81</v>
      </c>
      <c r="E153" t="s">
        <v>90</v>
      </c>
      <c r="F153" t="s">
        <v>250</v>
      </c>
      <c r="G153" t="s">
        <v>228</v>
      </c>
      <c r="H153" t="s">
        <v>239</v>
      </c>
      <c r="I153" t="s">
        <v>230</v>
      </c>
      <c r="J153" t="s">
        <v>86</v>
      </c>
      <c r="K153" t="s">
        <v>275</v>
      </c>
      <c r="L153" t="s">
        <v>95</v>
      </c>
      <c r="M153">
        <v>41252</v>
      </c>
      <c r="N153" t="s">
        <v>436</v>
      </c>
      <c r="O153" t="s">
        <v>434</v>
      </c>
      <c r="P153" t="s">
        <v>254</v>
      </c>
      <c r="Q153" s="2">
        <v>300534063811790</v>
      </c>
      <c r="R153" s="3" t="s">
        <v>276</v>
      </c>
      <c r="S153" s="6">
        <v>140439</v>
      </c>
      <c r="T153" s="1">
        <v>2023</v>
      </c>
      <c r="W153" t="s">
        <v>245</v>
      </c>
      <c r="X153">
        <v>2023</v>
      </c>
      <c r="Y153" s="1" t="s">
        <v>217</v>
      </c>
      <c r="Z153" s="1">
        <v>2023</v>
      </c>
      <c r="AA153">
        <v>2023</v>
      </c>
      <c r="AB153">
        <v>2023</v>
      </c>
      <c r="AC153">
        <v>2023</v>
      </c>
      <c r="AD153">
        <v>50213</v>
      </c>
      <c r="AE153" t="s">
        <v>110</v>
      </c>
      <c r="AF153">
        <v>2023</v>
      </c>
      <c r="AT153">
        <v>2023</v>
      </c>
      <c r="AY153" t="s">
        <v>246</v>
      </c>
      <c r="AZ153">
        <v>2023</v>
      </c>
    </row>
    <row r="154" spans="1:58" x14ac:dyDescent="0.2">
      <c r="A154" t="s">
        <v>273</v>
      </c>
      <c r="B154" t="s">
        <v>274</v>
      </c>
      <c r="C154" s="5">
        <v>45536</v>
      </c>
      <c r="D154" t="s">
        <v>81</v>
      </c>
      <c r="E154" t="s">
        <v>90</v>
      </c>
      <c r="F154" t="s">
        <v>250</v>
      </c>
      <c r="G154" t="s">
        <v>228</v>
      </c>
      <c r="H154" t="s">
        <v>239</v>
      </c>
      <c r="I154" t="s">
        <v>230</v>
      </c>
      <c r="J154" t="s">
        <v>168</v>
      </c>
      <c r="K154" t="s">
        <v>275</v>
      </c>
      <c r="L154" t="s">
        <v>95</v>
      </c>
      <c r="M154">
        <v>41252</v>
      </c>
      <c r="N154" t="s">
        <v>259</v>
      </c>
      <c r="O154" t="s">
        <v>242</v>
      </c>
      <c r="P154" t="s">
        <v>254</v>
      </c>
      <c r="Q154" s="2">
        <v>300534063811790</v>
      </c>
      <c r="R154" s="3" t="s">
        <v>276</v>
      </c>
      <c r="S154" s="6">
        <v>140439</v>
      </c>
      <c r="T154" s="1">
        <v>2023</v>
      </c>
      <c r="W154" t="s">
        <v>245</v>
      </c>
      <c r="X154">
        <v>2024</v>
      </c>
      <c r="Y154" s="1" t="s">
        <v>217</v>
      </c>
      <c r="Z154" s="1">
        <v>2023</v>
      </c>
      <c r="AA154">
        <v>2024</v>
      </c>
      <c r="AB154">
        <v>2024</v>
      </c>
      <c r="AC154">
        <v>2023</v>
      </c>
      <c r="AD154">
        <v>50213</v>
      </c>
      <c r="AE154" t="s">
        <v>110</v>
      </c>
      <c r="AF154">
        <v>2023</v>
      </c>
      <c r="AT154">
        <v>2023</v>
      </c>
      <c r="AY154" t="s">
        <v>246</v>
      </c>
      <c r="AZ154">
        <v>2023</v>
      </c>
    </row>
    <row r="155" spans="1:58" x14ac:dyDescent="0.2">
      <c r="A155" t="s">
        <v>273</v>
      </c>
      <c r="B155" t="s">
        <v>274</v>
      </c>
      <c r="C155" s="5">
        <v>45905</v>
      </c>
      <c r="D155" t="s">
        <v>81</v>
      </c>
      <c r="E155" t="s">
        <v>90</v>
      </c>
      <c r="F155" t="s">
        <v>250</v>
      </c>
      <c r="G155" t="s">
        <v>228</v>
      </c>
      <c r="H155" t="s">
        <v>239</v>
      </c>
      <c r="I155" t="s">
        <v>230</v>
      </c>
      <c r="J155" t="s">
        <v>168</v>
      </c>
      <c r="K155" t="s">
        <v>275</v>
      </c>
      <c r="L155" t="s">
        <v>95</v>
      </c>
      <c r="M155">
        <v>41252</v>
      </c>
      <c r="N155" t="s">
        <v>259</v>
      </c>
      <c r="O155" t="s">
        <v>242</v>
      </c>
      <c r="P155" t="s">
        <v>254</v>
      </c>
      <c r="Q155" s="2">
        <v>300534063811790</v>
      </c>
      <c r="R155" s="3" t="s">
        <v>276</v>
      </c>
      <c r="S155" s="6">
        <v>140439</v>
      </c>
      <c r="T155" s="1">
        <v>2023</v>
      </c>
      <c r="W155" t="s">
        <v>245</v>
      </c>
      <c r="X155">
        <v>2024</v>
      </c>
      <c r="Y155" s="1" t="s">
        <v>217</v>
      </c>
      <c r="Z155" s="1">
        <v>2023</v>
      </c>
      <c r="AA155">
        <v>2025</v>
      </c>
      <c r="AB155">
        <v>2025</v>
      </c>
      <c r="AC155">
        <v>2025</v>
      </c>
      <c r="AD155">
        <v>50213</v>
      </c>
      <c r="AE155" t="s">
        <v>110</v>
      </c>
      <c r="AF155">
        <v>2023</v>
      </c>
      <c r="AT155">
        <v>2023</v>
      </c>
      <c r="AY155" t="s">
        <v>246</v>
      </c>
      <c r="AZ155">
        <v>2023</v>
      </c>
      <c r="BF155" t="s">
        <v>277</v>
      </c>
    </row>
    <row r="156" spans="1:58" hidden="1" x14ac:dyDescent="0.2">
      <c r="A156" t="s">
        <v>437</v>
      </c>
      <c r="B156" t="s">
        <v>279</v>
      </c>
      <c r="C156" s="5">
        <v>45169</v>
      </c>
      <c r="D156" t="s">
        <v>81</v>
      </c>
      <c r="E156" t="s">
        <v>82</v>
      </c>
      <c r="F156" t="s">
        <v>250</v>
      </c>
      <c r="G156" t="s">
        <v>206</v>
      </c>
      <c r="I156" t="s">
        <v>230</v>
      </c>
      <c r="J156" t="s">
        <v>88</v>
      </c>
    </row>
    <row r="157" spans="1:58" hidden="1" x14ac:dyDescent="0.2">
      <c r="A157" t="s">
        <v>437</v>
      </c>
      <c r="B157" t="s">
        <v>279</v>
      </c>
      <c r="C157" s="5">
        <v>39667</v>
      </c>
      <c r="D157" t="s">
        <v>81</v>
      </c>
      <c r="E157" t="s">
        <v>82</v>
      </c>
      <c r="F157" t="s">
        <v>250</v>
      </c>
      <c r="G157" t="s">
        <v>206</v>
      </c>
      <c r="I157" t="s">
        <v>230</v>
      </c>
      <c r="J157" t="s">
        <v>86</v>
      </c>
    </row>
    <row r="158" spans="1:58" x14ac:dyDescent="0.2">
      <c r="A158" t="s">
        <v>273</v>
      </c>
      <c r="B158" t="s">
        <v>274</v>
      </c>
      <c r="C158" s="5">
        <v>46266</v>
      </c>
      <c r="D158" t="s">
        <v>81</v>
      </c>
      <c r="E158" t="s">
        <v>90</v>
      </c>
      <c r="F158" t="s">
        <v>250</v>
      </c>
      <c r="G158" t="s">
        <v>228</v>
      </c>
      <c r="H158" t="s">
        <v>239</v>
      </c>
      <c r="I158" t="s">
        <v>230</v>
      </c>
      <c r="J158" t="s">
        <v>168</v>
      </c>
      <c r="K158" t="s">
        <v>275</v>
      </c>
      <c r="L158" t="s">
        <v>95</v>
      </c>
      <c r="M158">
        <v>41252</v>
      </c>
      <c r="N158" t="s">
        <v>259</v>
      </c>
      <c r="O158" t="s">
        <v>242</v>
      </c>
      <c r="P158" t="s">
        <v>254</v>
      </c>
      <c r="Q158" s="2">
        <v>300534063811790</v>
      </c>
      <c r="R158" s="3" t="s">
        <v>276</v>
      </c>
      <c r="S158" s="6" t="s">
        <v>409</v>
      </c>
      <c r="T158" s="1">
        <v>2026</v>
      </c>
      <c r="W158" t="s">
        <v>245</v>
      </c>
      <c r="X158">
        <v>2026</v>
      </c>
      <c r="Y158" s="1" t="s">
        <v>217</v>
      </c>
      <c r="Z158" s="1">
        <v>2023</v>
      </c>
      <c r="AA158">
        <v>2026</v>
      </c>
      <c r="AB158">
        <v>2026</v>
      </c>
      <c r="AC158">
        <v>2026</v>
      </c>
      <c r="AD158">
        <v>50213</v>
      </c>
      <c r="AE158" t="s">
        <v>110</v>
      </c>
      <c r="AF158">
        <v>2023</v>
      </c>
      <c r="AT158">
        <v>2023</v>
      </c>
      <c r="AY158" t="s">
        <v>246</v>
      </c>
      <c r="AZ158">
        <v>2023</v>
      </c>
      <c r="BF158" t="s">
        <v>681</v>
      </c>
    </row>
    <row r="159" spans="1:58" x14ac:dyDescent="0.2">
      <c r="A159" t="s">
        <v>278</v>
      </c>
      <c r="B159" t="s">
        <v>279</v>
      </c>
      <c r="C159" s="5">
        <v>44804</v>
      </c>
      <c r="D159" t="s">
        <v>81</v>
      </c>
      <c r="E159" t="s">
        <v>90</v>
      </c>
      <c r="F159" t="s">
        <v>250</v>
      </c>
      <c r="G159" t="s">
        <v>228</v>
      </c>
      <c r="H159" t="s">
        <v>239</v>
      </c>
      <c r="I159" t="s">
        <v>230</v>
      </c>
      <c r="J159" t="s">
        <v>86</v>
      </c>
      <c r="K159" t="s">
        <v>134</v>
      </c>
      <c r="L159" t="s">
        <v>95</v>
      </c>
      <c r="M159">
        <v>35296</v>
      </c>
      <c r="N159" t="s">
        <v>364</v>
      </c>
      <c r="O159" t="s">
        <v>474</v>
      </c>
      <c r="P159" t="s">
        <v>280</v>
      </c>
      <c r="Q159" s="2">
        <v>300234010621950</v>
      </c>
      <c r="R159" s="3" t="s">
        <v>98</v>
      </c>
      <c r="S159" s="6">
        <v>213257</v>
      </c>
      <c r="T159" s="1">
        <v>2022</v>
      </c>
      <c r="W159" t="s">
        <v>245</v>
      </c>
      <c r="X159">
        <v>2022</v>
      </c>
      <c r="Y159" s="1" t="s">
        <v>217</v>
      </c>
      <c r="Z159" s="1">
        <v>2022</v>
      </c>
      <c r="AA159">
        <v>2022</v>
      </c>
      <c r="AB159">
        <v>2022</v>
      </c>
      <c r="AC159">
        <v>2022</v>
      </c>
      <c r="AD159">
        <v>5011</v>
      </c>
      <c r="AE159" t="s">
        <v>110</v>
      </c>
      <c r="AF159">
        <v>2022</v>
      </c>
      <c r="AT159">
        <v>2022</v>
      </c>
      <c r="AY159" t="s">
        <v>246</v>
      </c>
      <c r="AZ159">
        <v>2022</v>
      </c>
    </row>
    <row r="160" spans="1:58" x14ac:dyDescent="0.2">
      <c r="A160" t="s">
        <v>278</v>
      </c>
      <c r="B160" t="s">
        <v>279</v>
      </c>
      <c r="C160" s="5">
        <v>45169</v>
      </c>
      <c r="D160" t="s">
        <v>81</v>
      </c>
      <c r="E160" t="s">
        <v>90</v>
      </c>
      <c r="F160" t="s">
        <v>250</v>
      </c>
      <c r="G160" t="s">
        <v>228</v>
      </c>
      <c r="H160" t="s">
        <v>239</v>
      </c>
      <c r="I160" t="s">
        <v>230</v>
      </c>
      <c r="J160" t="s">
        <v>168</v>
      </c>
      <c r="K160" t="s">
        <v>134</v>
      </c>
      <c r="L160" t="s">
        <v>95</v>
      </c>
      <c r="M160">
        <v>35296</v>
      </c>
      <c r="N160" t="s">
        <v>364</v>
      </c>
      <c r="O160" t="s">
        <v>433</v>
      </c>
      <c r="P160" t="s">
        <v>280</v>
      </c>
      <c r="Q160" s="2">
        <v>300234010621950</v>
      </c>
      <c r="R160" s="3" t="s">
        <v>98</v>
      </c>
      <c r="S160" s="6">
        <v>213257</v>
      </c>
      <c r="T160" s="1">
        <v>2022</v>
      </c>
      <c r="W160" t="s">
        <v>245</v>
      </c>
      <c r="X160">
        <v>2023</v>
      </c>
      <c r="Y160" s="1" t="s">
        <v>217</v>
      </c>
      <c r="Z160" s="1">
        <v>2023</v>
      </c>
      <c r="AA160">
        <v>2023</v>
      </c>
      <c r="AB160">
        <v>2023</v>
      </c>
      <c r="AC160">
        <v>2023</v>
      </c>
      <c r="AD160" s="1">
        <v>50117</v>
      </c>
      <c r="AE160" t="s">
        <v>110</v>
      </c>
      <c r="AF160">
        <v>2023</v>
      </c>
      <c r="AT160">
        <v>2022</v>
      </c>
      <c r="AY160" t="s">
        <v>246</v>
      </c>
      <c r="AZ160">
        <v>2022</v>
      </c>
    </row>
    <row r="161" spans="1:58" x14ac:dyDescent="0.2">
      <c r="A161" t="s">
        <v>278</v>
      </c>
      <c r="B161" t="s">
        <v>279</v>
      </c>
      <c r="C161" s="5">
        <v>45536</v>
      </c>
      <c r="D161" t="s">
        <v>81</v>
      </c>
      <c r="E161" t="s">
        <v>90</v>
      </c>
      <c r="F161" t="s">
        <v>250</v>
      </c>
      <c r="G161" t="s">
        <v>228</v>
      </c>
      <c r="H161" t="s">
        <v>239</v>
      </c>
      <c r="I161" t="s">
        <v>230</v>
      </c>
      <c r="J161" t="s">
        <v>168</v>
      </c>
      <c r="K161" t="s">
        <v>134</v>
      </c>
      <c r="L161" t="s">
        <v>95</v>
      </c>
      <c r="M161">
        <v>35296</v>
      </c>
      <c r="N161" t="s">
        <v>105</v>
      </c>
      <c r="O161" t="s">
        <v>242</v>
      </c>
      <c r="P161" t="s">
        <v>280</v>
      </c>
      <c r="Q161" s="2">
        <v>300234010621950</v>
      </c>
      <c r="R161" s="3" t="s">
        <v>98</v>
      </c>
      <c r="S161" s="6">
        <v>110722</v>
      </c>
      <c r="T161" s="1">
        <v>2024</v>
      </c>
      <c r="W161" t="s">
        <v>245</v>
      </c>
      <c r="X161">
        <v>2023</v>
      </c>
      <c r="Y161" s="1" t="s">
        <v>217</v>
      </c>
      <c r="Z161" s="1">
        <v>2023</v>
      </c>
      <c r="AA161">
        <v>2024</v>
      </c>
      <c r="AB161">
        <v>2024</v>
      </c>
      <c r="AC161">
        <v>2023</v>
      </c>
      <c r="AD161">
        <v>50117</v>
      </c>
      <c r="AE161" t="s">
        <v>110</v>
      </c>
      <c r="AF161">
        <v>2023</v>
      </c>
      <c r="AT161">
        <v>2022</v>
      </c>
      <c r="AY161" t="s">
        <v>246</v>
      </c>
      <c r="AZ161">
        <v>2022</v>
      </c>
    </row>
    <row r="162" spans="1:58" x14ac:dyDescent="0.2">
      <c r="A162" t="s">
        <v>278</v>
      </c>
      <c r="B162" t="s">
        <v>279</v>
      </c>
      <c r="C162" s="5">
        <v>45905</v>
      </c>
      <c r="D162" t="s">
        <v>81</v>
      </c>
      <c r="E162" t="s">
        <v>90</v>
      </c>
      <c r="F162" t="s">
        <v>250</v>
      </c>
      <c r="G162" t="s">
        <v>228</v>
      </c>
      <c r="H162" t="s">
        <v>239</v>
      </c>
      <c r="I162" t="s">
        <v>230</v>
      </c>
      <c r="J162" t="s">
        <v>168</v>
      </c>
      <c r="K162" t="s">
        <v>134</v>
      </c>
      <c r="L162" t="s">
        <v>95</v>
      </c>
      <c r="M162">
        <v>35296</v>
      </c>
      <c r="N162" t="s">
        <v>105</v>
      </c>
      <c r="O162" t="s">
        <v>242</v>
      </c>
      <c r="P162" t="s">
        <v>280</v>
      </c>
      <c r="Q162" s="2">
        <v>300234010621950</v>
      </c>
      <c r="R162" s="3" t="s">
        <v>98</v>
      </c>
      <c r="S162" s="6" t="s">
        <v>281</v>
      </c>
      <c r="T162" s="1">
        <v>2025</v>
      </c>
      <c r="W162" t="s">
        <v>245</v>
      </c>
      <c r="X162">
        <v>2025</v>
      </c>
      <c r="Y162" s="1" t="s">
        <v>217</v>
      </c>
      <c r="Z162" s="1">
        <v>2023</v>
      </c>
      <c r="AA162">
        <v>2025</v>
      </c>
      <c r="AB162">
        <v>2025</v>
      </c>
      <c r="AC162">
        <v>2025</v>
      </c>
      <c r="AD162">
        <v>50117</v>
      </c>
      <c r="AE162" t="s">
        <v>110</v>
      </c>
      <c r="AF162">
        <v>2023</v>
      </c>
      <c r="AT162">
        <v>2022</v>
      </c>
      <c r="AY162" t="s">
        <v>246</v>
      </c>
      <c r="AZ162">
        <v>2022</v>
      </c>
      <c r="BF162" t="s">
        <v>282</v>
      </c>
    </row>
    <row r="163" spans="1:58" hidden="1" x14ac:dyDescent="0.2">
      <c r="A163" t="s">
        <v>439</v>
      </c>
      <c r="B163" t="s">
        <v>440</v>
      </c>
      <c r="C163">
        <v>2024</v>
      </c>
      <c r="D163" t="s">
        <v>385</v>
      </c>
      <c r="E163" t="s">
        <v>90</v>
      </c>
      <c r="F163" t="s">
        <v>250</v>
      </c>
      <c r="G163" t="s">
        <v>228</v>
      </c>
      <c r="H163" t="s">
        <v>239</v>
      </c>
      <c r="I163" t="s">
        <v>230</v>
      </c>
      <c r="J163" t="s">
        <v>86</v>
      </c>
      <c r="K163" t="s">
        <v>441</v>
      </c>
      <c r="N163" t="s">
        <v>259</v>
      </c>
      <c r="O163" t="s">
        <v>253</v>
      </c>
      <c r="P163" t="s">
        <v>254</v>
      </c>
      <c r="Q163" s="2">
        <v>300234066318240</v>
      </c>
      <c r="R163" s="3" t="s">
        <v>98</v>
      </c>
      <c r="S163" s="6">
        <v>182012</v>
      </c>
      <c r="W163" t="s">
        <v>245</v>
      </c>
      <c r="Y163" s="1" t="s">
        <v>217</v>
      </c>
      <c r="AC163" t="s">
        <v>109</v>
      </c>
      <c r="AD163">
        <v>50277</v>
      </c>
      <c r="AY163" t="s">
        <v>246</v>
      </c>
      <c r="BF163" t="s">
        <v>442</v>
      </c>
    </row>
    <row r="164" spans="1:58" hidden="1" x14ac:dyDescent="0.2">
      <c r="A164" t="s">
        <v>443</v>
      </c>
      <c r="B164" t="s">
        <v>186</v>
      </c>
      <c r="C164" s="5">
        <v>45092</v>
      </c>
      <c r="D164" t="s">
        <v>81</v>
      </c>
      <c r="E164" t="s">
        <v>82</v>
      </c>
      <c r="F164" t="s">
        <v>83</v>
      </c>
      <c r="G164" t="s">
        <v>84</v>
      </c>
      <c r="I164" t="s">
        <v>85</v>
      </c>
      <c r="J164" t="s">
        <v>88</v>
      </c>
    </row>
    <row r="165" spans="1:58" hidden="1" x14ac:dyDescent="0.2">
      <c r="A165" t="s">
        <v>443</v>
      </c>
      <c r="B165" t="s">
        <v>186</v>
      </c>
      <c r="C165" s="5">
        <v>35540</v>
      </c>
      <c r="D165" t="s">
        <v>81</v>
      </c>
      <c r="E165" t="s">
        <v>82</v>
      </c>
      <c r="F165" t="s">
        <v>83</v>
      </c>
      <c r="G165" t="s">
        <v>84</v>
      </c>
      <c r="I165" t="s">
        <v>85</v>
      </c>
      <c r="J165" t="s">
        <v>86</v>
      </c>
    </row>
    <row r="166" spans="1:58" hidden="1" x14ac:dyDescent="0.2">
      <c r="A166" t="s">
        <v>318</v>
      </c>
      <c r="B166" t="s">
        <v>318</v>
      </c>
      <c r="C166" s="5">
        <v>45516</v>
      </c>
      <c r="D166" t="s">
        <v>81</v>
      </c>
      <c r="E166" t="s">
        <v>82</v>
      </c>
      <c r="F166" t="s">
        <v>250</v>
      </c>
      <c r="G166" t="s">
        <v>206</v>
      </c>
      <c r="I166" t="s">
        <v>230</v>
      </c>
      <c r="J166" t="s">
        <v>88</v>
      </c>
    </row>
    <row r="167" spans="1:58" hidden="1" x14ac:dyDescent="0.2">
      <c r="A167" t="s">
        <v>318</v>
      </c>
      <c r="B167" t="s">
        <v>318</v>
      </c>
      <c r="C167" s="5">
        <v>39650</v>
      </c>
      <c r="D167" t="s">
        <v>81</v>
      </c>
      <c r="E167" t="s">
        <v>82</v>
      </c>
      <c r="F167" t="s">
        <v>250</v>
      </c>
      <c r="G167" t="s">
        <v>206</v>
      </c>
      <c r="I167" t="s">
        <v>230</v>
      </c>
      <c r="J167" t="s">
        <v>86</v>
      </c>
    </row>
    <row r="168" spans="1:58" x14ac:dyDescent="0.2">
      <c r="A168" t="s">
        <v>278</v>
      </c>
      <c r="B168" t="s">
        <v>279</v>
      </c>
      <c r="C168" s="5">
        <v>46265</v>
      </c>
      <c r="D168" t="s">
        <v>81</v>
      </c>
      <c r="E168" t="s">
        <v>90</v>
      </c>
      <c r="F168" t="s">
        <v>250</v>
      </c>
      <c r="G168" t="s">
        <v>228</v>
      </c>
      <c r="H168" t="s">
        <v>239</v>
      </c>
      <c r="I168" t="s">
        <v>230</v>
      </c>
      <c r="J168" t="s">
        <v>168</v>
      </c>
      <c r="K168" t="s">
        <v>134</v>
      </c>
      <c r="L168" t="s">
        <v>95</v>
      </c>
      <c r="M168">
        <v>35296</v>
      </c>
      <c r="N168" t="s">
        <v>105</v>
      </c>
      <c r="O168" t="s">
        <v>242</v>
      </c>
      <c r="P168" t="s">
        <v>280</v>
      </c>
      <c r="Q168" s="2">
        <v>300234010621950</v>
      </c>
      <c r="R168" s="3" t="s">
        <v>98</v>
      </c>
      <c r="S168" s="6" t="s">
        <v>281</v>
      </c>
      <c r="T168" s="1">
        <v>2025</v>
      </c>
      <c r="W168" t="s">
        <v>245</v>
      </c>
      <c r="X168">
        <v>2026</v>
      </c>
      <c r="Y168" s="1" t="s">
        <v>217</v>
      </c>
      <c r="Z168" s="1">
        <v>2026</v>
      </c>
      <c r="AA168">
        <v>2026</v>
      </c>
      <c r="AB168">
        <v>2026</v>
      </c>
      <c r="AC168">
        <v>2026</v>
      </c>
      <c r="AD168" t="s">
        <v>627</v>
      </c>
      <c r="AE168" t="s">
        <v>110</v>
      </c>
      <c r="AF168">
        <v>2026</v>
      </c>
      <c r="AT168">
        <v>2022</v>
      </c>
      <c r="AY168" t="s">
        <v>246</v>
      </c>
      <c r="AZ168">
        <v>2022</v>
      </c>
    </row>
    <row r="169" spans="1:58" x14ac:dyDescent="0.2">
      <c r="A169" t="s">
        <v>317</v>
      </c>
      <c r="B169" t="s">
        <v>318</v>
      </c>
      <c r="C169" s="5">
        <v>45516</v>
      </c>
      <c r="D169" t="s">
        <v>81</v>
      </c>
      <c r="E169" t="s">
        <v>90</v>
      </c>
      <c r="F169" t="s">
        <v>250</v>
      </c>
      <c r="G169" t="s">
        <v>228</v>
      </c>
      <c r="H169" t="s">
        <v>319</v>
      </c>
      <c r="I169" t="s">
        <v>230</v>
      </c>
      <c r="J169" t="s">
        <v>86</v>
      </c>
      <c r="K169" t="s">
        <v>320</v>
      </c>
      <c r="L169" t="s">
        <v>95</v>
      </c>
      <c r="M169">
        <v>55533</v>
      </c>
      <c r="N169" t="s">
        <v>259</v>
      </c>
      <c r="O169" t="s">
        <v>253</v>
      </c>
      <c r="P169" t="s">
        <v>254</v>
      </c>
      <c r="Q169" s="2">
        <v>300534064382530</v>
      </c>
      <c r="R169" s="3" t="s">
        <v>276</v>
      </c>
      <c r="S169" s="6">
        <v>212893</v>
      </c>
      <c r="T169" s="1">
        <v>2023</v>
      </c>
      <c r="W169" t="s">
        <v>245</v>
      </c>
      <c r="X169">
        <v>2024</v>
      </c>
      <c r="Y169" s="1" t="s">
        <v>217</v>
      </c>
      <c r="Z169" s="1">
        <v>2024</v>
      </c>
      <c r="AA169">
        <v>2024</v>
      </c>
      <c r="AB169">
        <v>2024</v>
      </c>
      <c r="AC169">
        <v>2024</v>
      </c>
      <c r="AD169">
        <v>50274</v>
      </c>
      <c r="AE169" t="s">
        <v>110</v>
      </c>
      <c r="AF169">
        <v>2024</v>
      </c>
      <c r="AT169">
        <v>2017</v>
      </c>
      <c r="AY169" t="s">
        <v>246</v>
      </c>
      <c r="AZ169">
        <v>2024</v>
      </c>
    </row>
    <row r="170" spans="1:58" x14ac:dyDescent="0.2">
      <c r="A170" t="s">
        <v>317</v>
      </c>
      <c r="B170" t="s">
        <v>318</v>
      </c>
      <c r="C170" s="5">
        <v>45823</v>
      </c>
      <c r="D170" t="s">
        <v>81</v>
      </c>
      <c r="E170" t="s">
        <v>90</v>
      </c>
      <c r="F170" t="s">
        <v>250</v>
      </c>
      <c r="G170" t="s">
        <v>228</v>
      </c>
      <c r="H170" t="s">
        <v>319</v>
      </c>
      <c r="I170" t="s">
        <v>230</v>
      </c>
      <c r="J170" t="s">
        <v>168</v>
      </c>
      <c r="K170" t="s">
        <v>320</v>
      </c>
      <c r="L170" t="s">
        <v>95</v>
      </c>
      <c r="M170">
        <v>55533</v>
      </c>
      <c r="N170" t="s">
        <v>259</v>
      </c>
      <c r="O170" t="s">
        <v>253</v>
      </c>
      <c r="P170" t="s">
        <v>254</v>
      </c>
      <c r="Q170" s="2">
        <v>300534064382530</v>
      </c>
      <c r="R170" s="3" t="s">
        <v>276</v>
      </c>
      <c r="S170" s="6" t="s">
        <v>321</v>
      </c>
      <c r="T170" s="1">
        <v>2023</v>
      </c>
      <c r="W170" t="s">
        <v>245</v>
      </c>
      <c r="X170">
        <v>2024</v>
      </c>
      <c r="Y170" s="1" t="s">
        <v>217</v>
      </c>
      <c r="Z170" s="1">
        <v>2024</v>
      </c>
      <c r="AA170">
        <v>2024</v>
      </c>
      <c r="AB170">
        <v>2024</v>
      </c>
      <c r="AC170">
        <v>2025</v>
      </c>
      <c r="AD170">
        <v>50274</v>
      </c>
      <c r="AE170" t="s">
        <v>110</v>
      </c>
      <c r="AF170">
        <v>2024</v>
      </c>
      <c r="AT170">
        <v>2017</v>
      </c>
      <c r="AY170" t="s">
        <v>246</v>
      </c>
      <c r="AZ170">
        <v>2024</v>
      </c>
    </row>
    <row r="171" spans="1:58" hidden="1" x14ac:dyDescent="0.2">
      <c r="A171" t="s">
        <v>323</v>
      </c>
      <c r="B171" t="s">
        <v>323</v>
      </c>
      <c r="C171" s="5">
        <v>45517</v>
      </c>
      <c r="D171" t="s">
        <v>81</v>
      </c>
      <c r="E171" t="s">
        <v>82</v>
      </c>
      <c r="F171" t="s">
        <v>250</v>
      </c>
      <c r="G171" t="s">
        <v>250</v>
      </c>
      <c r="I171" t="s">
        <v>230</v>
      </c>
      <c r="J171" t="s">
        <v>88</v>
      </c>
    </row>
    <row r="172" spans="1:58" hidden="1" x14ac:dyDescent="0.2">
      <c r="A172" t="s">
        <v>323</v>
      </c>
      <c r="B172" t="s">
        <v>323</v>
      </c>
      <c r="C172" s="5">
        <v>39650</v>
      </c>
      <c r="D172" t="s">
        <v>81</v>
      </c>
      <c r="E172" t="s">
        <v>82</v>
      </c>
      <c r="F172" t="s">
        <v>250</v>
      </c>
      <c r="G172" t="s">
        <v>206</v>
      </c>
      <c r="I172" t="s">
        <v>230</v>
      </c>
      <c r="J172" t="s">
        <v>86</v>
      </c>
    </row>
    <row r="173" spans="1:58" x14ac:dyDescent="0.2">
      <c r="A173" t="s">
        <v>322</v>
      </c>
      <c r="B173" t="s">
        <v>323</v>
      </c>
      <c r="C173" s="5">
        <v>45517</v>
      </c>
      <c r="D173" t="s">
        <v>81</v>
      </c>
      <c r="E173" t="s">
        <v>90</v>
      </c>
      <c r="F173" t="s">
        <v>250</v>
      </c>
      <c r="G173" t="s">
        <v>228</v>
      </c>
      <c r="H173" t="s">
        <v>239</v>
      </c>
      <c r="I173" t="s">
        <v>230</v>
      </c>
      <c r="J173" t="s">
        <v>86</v>
      </c>
      <c r="K173" t="s">
        <v>324</v>
      </c>
      <c r="L173" t="s">
        <v>95</v>
      </c>
      <c r="M173">
        <v>13813</v>
      </c>
      <c r="N173" t="s">
        <v>259</v>
      </c>
      <c r="O173" t="s">
        <v>253</v>
      </c>
      <c r="P173" t="s">
        <v>254</v>
      </c>
      <c r="Q173" s="2">
        <v>300534063817350</v>
      </c>
      <c r="R173" s="3" t="s">
        <v>98</v>
      </c>
      <c r="S173" s="6">
        <v>213155</v>
      </c>
      <c r="T173" s="1">
        <v>2021</v>
      </c>
      <c r="W173" t="s">
        <v>245</v>
      </c>
      <c r="X173">
        <v>2024</v>
      </c>
      <c r="Y173" s="1" t="s">
        <v>217</v>
      </c>
      <c r="Z173" s="1">
        <v>2022</v>
      </c>
      <c r="AA173">
        <v>2024</v>
      </c>
      <c r="AB173">
        <v>2024</v>
      </c>
      <c r="AC173">
        <v>2024</v>
      </c>
      <c r="AD173" s="1">
        <v>50196</v>
      </c>
      <c r="AE173" t="s">
        <v>110</v>
      </c>
      <c r="AF173">
        <v>2024</v>
      </c>
      <c r="AT173">
        <v>2017</v>
      </c>
      <c r="AY173" t="s">
        <v>246</v>
      </c>
      <c r="AZ173">
        <v>2024</v>
      </c>
    </row>
    <row r="174" spans="1:58" x14ac:dyDescent="0.2">
      <c r="A174" t="s">
        <v>322</v>
      </c>
      <c r="B174" t="s">
        <v>323</v>
      </c>
      <c r="C174" s="5">
        <v>45823</v>
      </c>
      <c r="D174" t="s">
        <v>81</v>
      </c>
      <c r="E174" t="s">
        <v>90</v>
      </c>
      <c r="F174" t="s">
        <v>250</v>
      </c>
      <c r="G174" t="s">
        <v>228</v>
      </c>
      <c r="H174" t="s">
        <v>239</v>
      </c>
      <c r="I174" t="s">
        <v>230</v>
      </c>
      <c r="J174" t="s">
        <v>168</v>
      </c>
      <c r="K174" t="s">
        <v>324</v>
      </c>
      <c r="L174" t="s">
        <v>95</v>
      </c>
      <c r="M174">
        <v>13813</v>
      </c>
      <c r="N174" t="s">
        <v>259</v>
      </c>
      <c r="O174" t="s">
        <v>253</v>
      </c>
      <c r="P174" t="s">
        <v>254</v>
      </c>
      <c r="Q174" s="2">
        <v>300534063817350</v>
      </c>
      <c r="R174" s="3" t="s">
        <v>98</v>
      </c>
      <c r="S174" s="6" t="s">
        <v>325</v>
      </c>
      <c r="T174" s="1">
        <v>2025</v>
      </c>
      <c r="W174" t="s">
        <v>245</v>
      </c>
      <c r="X174">
        <v>2024</v>
      </c>
      <c r="Y174" s="1" t="s">
        <v>217</v>
      </c>
      <c r="Z174" s="1">
        <v>2022</v>
      </c>
      <c r="AA174">
        <v>2024</v>
      </c>
      <c r="AB174">
        <v>2024</v>
      </c>
      <c r="AC174">
        <v>2025</v>
      </c>
      <c r="AD174" s="1">
        <v>50196</v>
      </c>
      <c r="AE174" t="s">
        <v>110</v>
      </c>
      <c r="AF174">
        <v>2024</v>
      </c>
      <c r="AT174">
        <v>2017</v>
      </c>
      <c r="AY174" t="s">
        <v>246</v>
      </c>
      <c r="AZ174">
        <v>2024</v>
      </c>
      <c r="BF174" t="s">
        <v>326</v>
      </c>
    </row>
    <row r="175" spans="1:58" x14ac:dyDescent="0.2">
      <c r="A175" t="s">
        <v>322</v>
      </c>
      <c r="B175" t="s">
        <v>323</v>
      </c>
      <c r="C175" s="5">
        <v>46248</v>
      </c>
      <c r="D175" t="s">
        <v>81</v>
      </c>
      <c r="AD175" s="1"/>
      <c r="BF175" t="s">
        <v>682</v>
      </c>
    </row>
    <row r="176" spans="1:58" x14ac:dyDescent="0.2">
      <c r="A176" t="s">
        <v>186</v>
      </c>
      <c r="B176" t="s">
        <v>186</v>
      </c>
      <c r="C176" s="5">
        <v>44361</v>
      </c>
      <c r="D176" t="s">
        <v>81</v>
      </c>
      <c r="E176" t="s">
        <v>90</v>
      </c>
      <c r="F176" t="s">
        <v>83</v>
      </c>
      <c r="G176" t="s">
        <v>479</v>
      </c>
      <c r="I176" t="s">
        <v>85</v>
      </c>
      <c r="J176" t="s">
        <v>86</v>
      </c>
      <c r="K176" t="s">
        <v>134</v>
      </c>
      <c r="L176" t="s">
        <v>95</v>
      </c>
      <c r="M176">
        <v>23810</v>
      </c>
      <c r="N176" t="s">
        <v>109</v>
      </c>
      <c r="O176" t="s">
        <v>482</v>
      </c>
      <c r="Q176" s="2">
        <v>300534062415410</v>
      </c>
      <c r="R176" s="3" t="s">
        <v>98</v>
      </c>
      <c r="S176" s="7">
        <v>212895</v>
      </c>
      <c r="T176" s="1">
        <v>2021</v>
      </c>
      <c r="W176" t="s">
        <v>481</v>
      </c>
      <c r="X176">
        <v>2021</v>
      </c>
      <c r="Y176"/>
      <c r="Z176"/>
      <c r="AJ176">
        <v>2021</v>
      </c>
      <c r="AK176">
        <v>2021</v>
      </c>
      <c r="AP176" t="s">
        <v>110</v>
      </c>
      <c r="AQ176">
        <v>2021</v>
      </c>
      <c r="AR176" t="s">
        <v>110</v>
      </c>
      <c r="AS176">
        <v>2021</v>
      </c>
      <c r="AT176">
        <v>2021</v>
      </c>
      <c r="AY176" t="s">
        <v>109</v>
      </c>
      <c r="AZ176">
        <v>2021</v>
      </c>
    </row>
    <row r="177" spans="1:58" x14ac:dyDescent="0.2">
      <c r="A177" t="s">
        <v>186</v>
      </c>
      <c r="B177" t="s">
        <v>186</v>
      </c>
      <c r="C177" s="5">
        <v>44735</v>
      </c>
      <c r="D177" t="s">
        <v>81</v>
      </c>
      <c r="E177" t="s">
        <v>90</v>
      </c>
      <c r="F177" t="s">
        <v>83</v>
      </c>
      <c r="G177" t="s">
        <v>479</v>
      </c>
      <c r="I177" t="s">
        <v>85</v>
      </c>
      <c r="J177" t="s">
        <v>93</v>
      </c>
      <c r="K177" t="s">
        <v>134</v>
      </c>
      <c r="L177" t="s">
        <v>95</v>
      </c>
      <c r="M177">
        <v>23807</v>
      </c>
      <c r="N177" t="s">
        <v>449</v>
      </c>
      <c r="O177" t="s">
        <v>482</v>
      </c>
      <c r="Q177" s="2">
        <v>300534063812520</v>
      </c>
      <c r="R177" s="3" t="s">
        <v>98</v>
      </c>
      <c r="S177" s="7">
        <v>212895</v>
      </c>
      <c r="T177" s="1">
        <v>2021</v>
      </c>
      <c r="W177" t="s">
        <v>481</v>
      </c>
      <c r="X177">
        <v>2021</v>
      </c>
      <c r="Y177"/>
      <c r="Z177"/>
      <c r="AJ177">
        <v>2021</v>
      </c>
      <c r="AK177">
        <v>2021</v>
      </c>
      <c r="AP177" t="s">
        <v>110</v>
      </c>
      <c r="AQ177">
        <v>2021</v>
      </c>
      <c r="AR177" t="s">
        <v>110</v>
      </c>
      <c r="AS177">
        <v>2021</v>
      </c>
      <c r="AT177">
        <v>2021</v>
      </c>
      <c r="AY177" t="s">
        <v>109</v>
      </c>
      <c r="AZ177">
        <v>2021</v>
      </c>
    </row>
    <row r="178" spans="1:58" x14ac:dyDescent="0.2">
      <c r="A178" t="s">
        <v>186</v>
      </c>
      <c r="B178" t="s">
        <v>186</v>
      </c>
      <c r="C178" s="5">
        <v>45092</v>
      </c>
      <c r="D178" t="s">
        <v>81</v>
      </c>
      <c r="E178" t="s">
        <v>90</v>
      </c>
      <c r="F178" t="s">
        <v>83</v>
      </c>
      <c r="G178" t="s">
        <v>155</v>
      </c>
      <c r="I178" t="s">
        <v>85</v>
      </c>
      <c r="J178" t="s">
        <v>93</v>
      </c>
      <c r="K178" t="s">
        <v>187</v>
      </c>
      <c r="L178" t="s">
        <v>95</v>
      </c>
      <c r="M178">
        <v>41785</v>
      </c>
      <c r="N178" t="s">
        <v>455</v>
      </c>
      <c r="O178" t="s">
        <v>432</v>
      </c>
      <c r="P178" t="s">
        <v>188</v>
      </c>
      <c r="Q178" s="2">
        <v>300534063815680</v>
      </c>
      <c r="R178" s="3" t="s">
        <v>98</v>
      </c>
      <c r="S178" s="6">
        <v>212895</v>
      </c>
      <c r="T178" s="1">
        <v>2021</v>
      </c>
      <c r="W178" t="s">
        <v>403</v>
      </c>
      <c r="X178">
        <v>2023</v>
      </c>
      <c r="Y178"/>
      <c r="Z178"/>
      <c r="AJ178">
        <v>2023</v>
      </c>
      <c r="AK178">
        <v>2023</v>
      </c>
      <c r="AP178" t="s">
        <v>110</v>
      </c>
      <c r="AQ178">
        <v>2021</v>
      </c>
      <c r="AR178" t="s">
        <v>110</v>
      </c>
      <c r="AS178">
        <v>2021</v>
      </c>
      <c r="AT178">
        <v>2023</v>
      </c>
      <c r="AY178" t="s">
        <v>111</v>
      </c>
      <c r="AZ178">
        <v>2023</v>
      </c>
    </row>
    <row r="179" spans="1:58" x14ac:dyDescent="0.2">
      <c r="A179" t="s">
        <v>186</v>
      </c>
      <c r="B179" t="s">
        <v>186</v>
      </c>
      <c r="C179" s="5">
        <v>45436</v>
      </c>
      <c r="D179" t="s">
        <v>81</v>
      </c>
      <c r="E179" t="s">
        <v>90</v>
      </c>
      <c r="F179" t="s">
        <v>83</v>
      </c>
      <c r="G179" t="s">
        <v>155</v>
      </c>
      <c r="I179" t="s">
        <v>85</v>
      </c>
      <c r="J179" t="s">
        <v>93</v>
      </c>
      <c r="K179" t="s">
        <v>187</v>
      </c>
      <c r="L179" t="s">
        <v>95</v>
      </c>
      <c r="M179">
        <v>41785</v>
      </c>
      <c r="N179" t="s">
        <v>105</v>
      </c>
      <c r="O179" t="s">
        <v>223</v>
      </c>
      <c r="P179" t="s">
        <v>188</v>
      </c>
      <c r="Q179" s="2">
        <v>300534063815680</v>
      </c>
      <c r="R179" s="3" t="s">
        <v>98</v>
      </c>
      <c r="S179" s="6">
        <v>213250</v>
      </c>
      <c r="T179" s="1">
        <v>2023</v>
      </c>
      <c r="W179" t="s">
        <v>100</v>
      </c>
      <c r="X179">
        <v>2024</v>
      </c>
      <c r="Y179"/>
      <c r="Z179"/>
      <c r="AJ179">
        <v>2024</v>
      </c>
      <c r="AK179">
        <v>2024</v>
      </c>
      <c r="AP179" t="s">
        <v>110</v>
      </c>
      <c r="AQ179">
        <v>2024</v>
      </c>
      <c r="AR179" t="s">
        <v>110</v>
      </c>
      <c r="AS179">
        <v>2024</v>
      </c>
      <c r="AT179">
        <v>2023</v>
      </c>
      <c r="AY179" t="s">
        <v>111</v>
      </c>
      <c r="AZ179">
        <v>2023</v>
      </c>
    </row>
    <row r="180" spans="1:58" x14ac:dyDescent="0.2">
      <c r="A180" t="s">
        <v>186</v>
      </c>
      <c r="B180" t="s">
        <v>186</v>
      </c>
      <c r="C180" s="5">
        <v>45797</v>
      </c>
      <c r="D180" t="s">
        <v>81</v>
      </c>
      <c r="E180" t="s">
        <v>90</v>
      </c>
      <c r="F180" t="s">
        <v>83</v>
      </c>
      <c r="G180" t="s">
        <v>155</v>
      </c>
      <c r="I180" t="s">
        <v>85</v>
      </c>
      <c r="J180" t="s">
        <v>93</v>
      </c>
      <c r="K180" t="s">
        <v>187</v>
      </c>
      <c r="L180" t="s">
        <v>95</v>
      </c>
      <c r="M180">
        <v>41785</v>
      </c>
      <c r="N180" t="s">
        <v>105</v>
      </c>
      <c r="O180" t="s">
        <v>223</v>
      </c>
      <c r="P180" t="s">
        <v>188</v>
      </c>
      <c r="Q180" s="2">
        <v>300534063815680</v>
      </c>
      <c r="R180" s="3" t="s">
        <v>98</v>
      </c>
      <c r="S180" s="6">
        <v>213250</v>
      </c>
      <c r="T180" s="1">
        <v>2023</v>
      </c>
      <c r="W180" t="s">
        <v>108</v>
      </c>
      <c r="X180">
        <v>2024</v>
      </c>
      <c r="Y180"/>
      <c r="Z180"/>
      <c r="AJ180">
        <v>2025</v>
      </c>
      <c r="AK180">
        <v>2025</v>
      </c>
      <c r="AP180" t="s">
        <v>110</v>
      </c>
      <c r="AQ180">
        <v>2024</v>
      </c>
      <c r="AR180" t="s">
        <v>110</v>
      </c>
      <c r="AS180">
        <v>2024</v>
      </c>
      <c r="AT180">
        <v>2023</v>
      </c>
      <c r="AY180" t="s">
        <v>111</v>
      </c>
      <c r="AZ180">
        <v>2023</v>
      </c>
      <c r="BF180" t="s">
        <v>352</v>
      </c>
    </row>
    <row r="181" spans="1:58" x14ac:dyDescent="0.2">
      <c r="A181" t="s">
        <v>186</v>
      </c>
      <c r="B181" t="s">
        <v>186</v>
      </c>
      <c r="C181" s="5">
        <v>46149</v>
      </c>
      <c r="D181" t="s">
        <v>81</v>
      </c>
      <c r="E181" t="s">
        <v>90</v>
      </c>
      <c r="F181" t="s">
        <v>83</v>
      </c>
      <c r="G181" t="s">
        <v>155</v>
      </c>
      <c r="I181" t="s">
        <v>85</v>
      </c>
      <c r="J181" t="s">
        <v>93</v>
      </c>
      <c r="K181" t="s">
        <v>187</v>
      </c>
      <c r="L181" t="s">
        <v>95</v>
      </c>
      <c r="M181">
        <v>41785</v>
      </c>
      <c r="N181" t="s">
        <v>105</v>
      </c>
      <c r="O181" t="s">
        <v>157</v>
      </c>
      <c r="P181" t="s">
        <v>188</v>
      </c>
      <c r="Q181" s="2">
        <v>300534063815680</v>
      </c>
      <c r="R181" s="3" t="s">
        <v>98</v>
      </c>
      <c r="S181" s="6" t="s">
        <v>189</v>
      </c>
      <c r="T181" s="1">
        <v>2026</v>
      </c>
      <c r="W181" t="s">
        <v>108</v>
      </c>
      <c r="X181">
        <v>2026</v>
      </c>
      <c r="Y181"/>
      <c r="Z181"/>
      <c r="AJ181">
        <v>2025</v>
      </c>
      <c r="AK181">
        <v>2026</v>
      </c>
      <c r="AL181">
        <v>2026</v>
      </c>
      <c r="AM181">
        <v>2026</v>
      </c>
      <c r="AP181" t="s">
        <v>101</v>
      </c>
      <c r="AQ181">
        <v>2026</v>
      </c>
      <c r="AR181" t="s">
        <v>101</v>
      </c>
      <c r="AS181">
        <v>2026</v>
      </c>
      <c r="AT181">
        <v>2023</v>
      </c>
      <c r="AY181" t="s">
        <v>111</v>
      </c>
      <c r="AZ181">
        <v>2023</v>
      </c>
      <c r="BA181" t="s">
        <v>160</v>
      </c>
      <c r="BB181">
        <v>2026</v>
      </c>
    </row>
    <row r="182" spans="1:58" x14ac:dyDescent="0.2">
      <c r="A182" t="s">
        <v>197</v>
      </c>
      <c r="B182" t="s">
        <v>197</v>
      </c>
      <c r="C182" s="5">
        <v>44368</v>
      </c>
      <c r="D182" t="s">
        <v>81</v>
      </c>
      <c r="E182" t="s">
        <v>90</v>
      </c>
      <c r="F182" t="s">
        <v>83</v>
      </c>
      <c r="G182" t="s">
        <v>479</v>
      </c>
      <c r="I182" t="s">
        <v>85</v>
      </c>
      <c r="J182" t="s">
        <v>86</v>
      </c>
      <c r="K182" t="s">
        <v>134</v>
      </c>
      <c r="L182" t="s">
        <v>95</v>
      </c>
      <c r="M182" t="s">
        <v>109</v>
      </c>
      <c r="N182" t="s">
        <v>109</v>
      </c>
      <c r="O182" t="s">
        <v>482</v>
      </c>
      <c r="P182" t="s">
        <v>109</v>
      </c>
      <c r="Q182" s="2" t="s">
        <v>109</v>
      </c>
      <c r="R182" s="3" t="s">
        <v>98</v>
      </c>
      <c r="S182" s="6" t="s">
        <v>506</v>
      </c>
      <c r="T182" s="1">
        <v>2021</v>
      </c>
      <c r="W182" t="s">
        <v>481</v>
      </c>
      <c r="X182">
        <v>2021</v>
      </c>
      <c r="Y182"/>
      <c r="Z182"/>
      <c r="AJ182">
        <v>2021</v>
      </c>
      <c r="AK182">
        <v>2021</v>
      </c>
      <c r="AP182" t="s">
        <v>110</v>
      </c>
      <c r="AQ182">
        <v>2021</v>
      </c>
      <c r="AR182" t="s">
        <v>110</v>
      </c>
      <c r="AS182">
        <v>2021</v>
      </c>
      <c r="AT182">
        <v>2021</v>
      </c>
      <c r="AY182" t="s">
        <v>109</v>
      </c>
      <c r="AZ182">
        <v>2021</v>
      </c>
    </row>
    <row r="183" spans="1:58" x14ac:dyDescent="0.2">
      <c r="A183" t="s">
        <v>197</v>
      </c>
      <c r="B183" t="s">
        <v>197</v>
      </c>
      <c r="C183" s="5">
        <v>45088</v>
      </c>
      <c r="D183" t="s">
        <v>81</v>
      </c>
      <c r="E183" t="s">
        <v>90</v>
      </c>
      <c r="F183" t="s">
        <v>83</v>
      </c>
      <c r="G183" t="s">
        <v>155</v>
      </c>
      <c r="I183" t="s">
        <v>85</v>
      </c>
      <c r="J183" t="s">
        <v>93</v>
      </c>
      <c r="K183" t="s">
        <v>459</v>
      </c>
      <c r="L183" t="s">
        <v>95</v>
      </c>
      <c r="M183">
        <v>41787</v>
      </c>
      <c r="N183" t="s">
        <v>455</v>
      </c>
      <c r="O183" t="s">
        <v>432</v>
      </c>
      <c r="P183" t="s">
        <v>188</v>
      </c>
      <c r="Q183" s="2">
        <v>300234065154530</v>
      </c>
      <c r="R183" s="3" t="s">
        <v>98</v>
      </c>
      <c r="S183" s="6">
        <v>212887</v>
      </c>
      <c r="T183" s="1">
        <v>2021</v>
      </c>
      <c r="W183" t="s">
        <v>403</v>
      </c>
      <c r="X183">
        <v>2023</v>
      </c>
      <c r="Y183"/>
      <c r="Z183"/>
      <c r="AJ183">
        <v>2023</v>
      </c>
      <c r="AK183">
        <v>2023</v>
      </c>
      <c r="AP183" t="s">
        <v>110</v>
      </c>
      <c r="AQ183">
        <v>2023</v>
      </c>
      <c r="AR183" t="s">
        <v>110</v>
      </c>
      <c r="AS183">
        <v>2021</v>
      </c>
      <c r="AT183">
        <v>2023</v>
      </c>
      <c r="AY183" t="s">
        <v>111</v>
      </c>
      <c r="AZ183">
        <v>2023</v>
      </c>
    </row>
    <row r="184" spans="1:58" x14ac:dyDescent="0.2">
      <c r="A184" t="s">
        <v>197</v>
      </c>
      <c r="B184" t="s">
        <v>197</v>
      </c>
      <c r="C184" s="5">
        <v>45435</v>
      </c>
      <c r="D184" t="s">
        <v>81</v>
      </c>
      <c r="E184" t="s">
        <v>90</v>
      </c>
      <c r="F184" t="s">
        <v>83</v>
      </c>
      <c r="G184" t="s">
        <v>91</v>
      </c>
      <c r="I184" t="s">
        <v>85</v>
      </c>
      <c r="J184" t="s">
        <v>93</v>
      </c>
      <c r="K184" t="s">
        <v>353</v>
      </c>
      <c r="L184" t="s">
        <v>95</v>
      </c>
      <c r="M184">
        <v>54787</v>
      </c>
      <c r="N184" t="s">
        <v>105</v>
      </c>
      <c r="O184" t="s">
        <v>97</v>
      </c>
      <c r="P184" t="s">
        <v>107</v>
      </c>
      <c r="Q184" s="2">
        <v>300534064387800</v>
      </c>
      <c r="R184" s="3" t="s">
        <v>98</v>
      </c>
      <c r="S184" s="6">
        <v>110723</v>
      </c>
      <c r="T184" s="1">
        <v>2023</v>
      </c>
      <c r="U184" t="s">
        <v>99</v>
      </c>
      <c r="V184">
        <v>2024</v>
      </c>
      <c r="W184" t="s">
        <v>108</v>
      </c>
      <c r="X184">
        <v>2024</v>
      </c>
      <c r="Y184"/>
      <c r="Z184"/>
      <c r="AJ184">
        <v>2024</v>
      </c>
      <c r="AK184">
        <v>2024</v>
      </c>
      <c r="AN184">
        <v>2024</v>
      </c>
      <c r="AO184">
        <v>2024</v>
      </c>
      <c r="AP184" t="s">
        <v>110</v>
      </c>
      <c r="AQ184">
        <v>2024</v>
      </c>
      <c r="AR184" t="s">
        <v>110</v>
      </c>
      <c r="AS184">
        <v>2024</v>
      </c>
      <c r="AT184">
        <v>2023</v>
      </c>
      <c r="AY184" t="s">
        <v>111</v>
      </c>
      <c r="AZ184">
        <v>2023</v>
      </c>
    </row>
    <row r="185" spans="1:58" x14ac:dyDescent="0.2">
      <c r="A185" t="s">
        <v>197</v>
      </c>
      <c r="B185" t="s">
        <v>197</v>
      </c>
      <c r="C185" s="5">
        <v>45796</v>
      </c>
      <c r="D185" t="s">
        <v>81</v>
      </c>
      <c r="E185" t="s">
        <v>90</v>
      </c>
      <c r="F185" t="s">
        <v>83</v>
      </c>
      <c r="G185" t="s">
        <v>91</v>
      </c>
      <c r="I185" t="s">
        <v>85</v>
      </c>
      <c r="J185" t="s">
        <v>93</v>
      </c>
      <c r="K185" t="s">
        <v>353</v>
      </c>
      <c r="L185" t="s">
        <v>95</v>
      </c>
      <c r="M185">
        <v>54787</v>
      </c>
      <c r="N185" t="s">
        <v>105</v>
      </c>
      <c r="O185" t="s">
        <v>97</v>
      </c>
      <c r="P185" t="s">
        <v>107</v>
      </c>
      <c r="Q185" s="2">
        <v>300534064387800</v>
      </c>
      <c r="R185" s="3" t="s">
        <v>98</v>
      </c>
      <c r="S185" s="6">
        <v>110723</v>
      </c>
      <c r="T185" s="1">
        <v>2023</v>
      </c>
      <c r="U185" t="s">
        <v>99</v>
      </c>
      <c r="V185">
        <v>2024</v>
      </c>
      <c r="W185" t="s">
        <v>108</v>
      </c>
      <c r="X185">
        <v>2024</v>
      </c>
      <c r="Y185"/>
      <c r="Z185"/>
      <c r="AJ185">
        <v>2025</v>
      </c>
      <c r="AK185">
        <v>2025</v>
      </c>
      <c r="AN185">
        <v>2024</v>
      </c>
      <c r="AO185">
        <v>2024</v>
      </c>
      <c r="AP185" t="s">
        <v>110</v>
      </c>
      <c r="AQ185">
        <v>2024</v>
      </c>
      <c r="AR185" t="s">
        <v>110</v>
      </c>
      <c r="AS185">
        <v>2025</v>
      </c>
      <c r="AT185">
        <v>2023</v>
      </c>
      <c r="AY185" t="s">
        <v>111</v>
      </c>
      <c r="AZ185">
        <v>2023</v>
      </c>
      <c r="BF185" t="s">
        <v>354</v>
      </c>
    </row>
    <row r="186" spans="1:58" x14ac:dyDescent="0.2">
      <c r="A186" t="s">
        <v>197</v>
      </c>
      <c r="B186" t="s">
        <v>197</v>
      </c>
      <c r="C186" s="5">
        <v>46145</v>
      </c>
      <c r="D186" t="s">
        <v>81</v>
      </c>
      <c r="E186" t="s">
        <v>90</v>
      </c>
      <c r="F186" t="s">
        <v>83</v>
      </c>
      <c r="G186" t="s">
        <v>91</v>
      </c>
      <c r="I186" t="s">
        <v>85</v>
      </c>
      <c r="J186" t="s">
        <v>93</v>
      </c>
      <c r="K186" t="s">
        <v>198</v>
      </c>
      <c r="L186" t="s">
        <v>95</v>
      </c>
      <c r="M186">
        <v>10673</v>
      </c>
      <c r="N186" t="s">
        <v>149</v>
      </c>
      <c r="O186" t="s">
        <v>97</v>
      </c>
      <c r="P186" t="s">
        <v>114</v>
      </c>
      <c r="Q186" s="2">
        <v>300534063818810</v>
      </c>
      <c r="R186" s="3" t="s">
        <v>98</v>
      </c>
      <c r="S186" s="6" t="s">
        <v>199</v>
      </c>
      <c r="T186" s="1">
        <v>2026</v>
      </c>
      <c r="U186" t="s">
        <v>99</v>
      </c>
      <c r="V186">
        <v>2026</v>
      </c>
      <c r="W186" t="s">
        <v>108</v>
      </c>
      <c r="X186">
        <v>2024</v>
      </c>
      <c r="Y186"/>
      <c r="Z186"/>
      <c r="AJ186">
        <v>2026</v>
      </c>
      <c r="AK186">
        <v>2026</v>
      </c>
      <c r="AL186">
        <v>2026</v>
      </c>
      <c r="AN186">
        <v>2024</v>
      </c>
      <c r="AO186">
        <v>2026</v>
      </c>
      <c r="AP186" t="s">
        <v>101</v>
      </c>
      <c r="AQ186">
        <v>2026</v>
      </c>
      <c r="AR186" t="s">
        <v>101</v>
      </c>
      <c r="AS186">
        <v>2026</v>
      </c>
      <c r="AT186">
        <v>2023</v>
      </c>
      <c r="AY186" t="s">
        <v>102</v>
      </c>
      <c r="AZ186">
        <v>2026</v>
      </c>
      <c r="BF186" t="s">
        <v>200</v>
      </c>
    </row>
    <row r="187" spans="1:58" hidden="1" x14ac:dyDescent="0.2">
      <c r="A187" t="s">
        <v>460</v>
      </c>
      <c r="B187" t="s">
        <v>460</v>
      </c>
      <c r="C187">
        <v>2024</v>
      </c>
      <c r="D187" t="s">
        <v>385</v>
      </c>
      <c r="F187" t="s">
        <v>250</v>
      </c>
      <c r="J187" t="s">
        <v>168</v>
      </c>
      <c r="Y187"/>
      <c r="Z187"/>
      <c r="BF187" t="s">
        <v>461</v>
      </c>
    </row>
    <row r="188" spans="1:58" hidden="1" x14ac:dyDescent="0.2">
      <c r="A188" t="s">
        <v>462</v>
      </c>
      <c r="B188" t="s">
        <v>197</v>
      </c>
      <c r="C188" s="5">
        <v>35543</v>
      </c>
      <c r="D188" t="s">
        <v>81</v>
      </c>
      <c r="E188" t="s">
        <v>82</v>
      </c>
      <c r="F188" t="s">
        <v>83</v>
      </c>
      <c r="G188" t="s">
        <v>84</v>
      </c>
      <c r="I188" t="s">
        <v>85</v>
      </c>
      <c r="J188" t="s">
        <v>86</v>
      </c>
    </row>
    <row r="189" spans="1:58" hidden="1" x14ac:dyDescent="0.2">
      <c r="A189" t="s">
        <v>462</v>
      </c>
      <c r="B189" t="s">
        <v>197</v>
      </c>
      <c r="C189" s="5">
        <v>44368</v>
      </c>
      <c r="D189" t="s">
        <v>81</v>
      </c>
      <c r="E189" t="s">
        <v>82</v>
      </c>
      <c r="F189" t="s">
        <v>83</v>
      </c>
      <c r="G189" t="s">
        <v>84</v>
      </c>
      <c r="I189" t="s">
        <v>85</v>
      </c>
      <c r="J189" t="s">
        <v>88</v>
      </c>
    </row>
    <row r="190" spans="1:58" x14ac:dyDescent="0.2">
      <c r="A190" t="s">
        <v>116</v>
      </c>
      <c r="B190" t="s">
        <v>116</v>
      </c>
      <c r="C190" s="5">
        <v>46185</v>
      </c>
      <c r="D190" t="s">
        <v>81</v>
      </c>
      <c r="E190" t="s">
        <v>90</v>
      </c>
      <c r="F190" t="s">
        <v>83</v>
      </c>
      <c r="G190" t="s">
        <v>91</v>
      </c>
      <c r="I190" t="s">
        <v>85</v>
      </c>
      <c r="J190" t="s">
        <v>86</v>
      </c>
      <c r="K190" t="s">
        <v>117</v>
      </c>
      <c r="L190" t="s">
        <v>118</v>
      </c>
      <c r="M190">
        <v>73557</v>
      </c>
      <c r="N190" t="s">
        <v>119</v>
      </c>
      <c r="O190" t="s">
        <v>97</v>
      </c>
      <c r="P190" t="s">
        <v>114</v>
      </c>
      <c r="Q190" s="2">
        <v>300234066316280</v>
      </c>
      <c r="R190" s="3" t="s">
        <v>98</v>
      </c>
      <c r="S190" s="6" t="s">
        <v>120</v>
      </c>
      <c r="T190" s="1">
        <v>2026</v>
      </c>
      <c r="U190" t="s">
        <v>99</v>
      </c>
      <c r="V190">
        <v>2026</v>
      </c>
      <c r="W190" t="s">
        <v>108</v>
      </c>
      <c r="X190">
        <v>2026</v>
      </c>
      <c r="AJ190">
        <v>2026</v>
      </c>
      <c r="AK190">
        <v>2026</v>
      </c>
      <c r="AL190">
        <v>2026</v>
      </c>
      <c r="AN190">
        <v>2026</v>
      </c>
      <c r="AO190">
        <v>2026</v>
      </c>
      <c r="AP190" t="s">
        <v>110</v>
      </c>
      <c r="AQ190">
        <v>2026</v>
      </c>
      <c r="AR190" t="s">
        <v>110</v>
      </c>
      <c r="AS190">
        <v>2026</v>
      </c>
      <c r="AT190">
        <v>2026</v>
      </c>
      <c r="AY190" t="s">
        <v>102</v>
      </c>
      <c r="AZ190">
        <v>2026</v>
      </c>
    </row>
    <row r="191" spans="1:58" x14ac:dyDescent="0.2">
      <c r="A191" t="s">
        <v>112</v>
      </c>
      <c r="B191" t="s">
        <v>112</v>
      </c>
      <c r="C191" s="5">
        <v>46187</v>
      </c>
      <c r="D191" t="s">
        <v>81</v>
      </c>
      <c r="E191" t="s">
        <v>90</v>
      </c>
      <c r="F191" t="s">
        <v>83</v>
      </c>
      <c r="G191" t="s">
        <v>91</v>
      </c>
      <c r="I191" t="s">
        <v>85</v>
      </c>
      <c r="J191" t="s">
        <v>86</v>
      </c>
      <c r="K191" t="s">
        <v>113</v>
      </c>
      <c r="L191" t="s">
        <v>95</v>
      </c>
      <c r="M191">
        <v>23655</v>
      </c>
      <c r="N191" t="s">
        <v>105</v>
      </c>
      <c r="O191" t="s">
        <v>97</v>
      </c>
      <c r="P191" t="s">
        <v>114</v>
      </c>
      <c r="Q191" s="2">
        <v>300534065154530</v>
      </c>
      <c r="R191" s="3" t="s">
        <v>98</v>
      </c>
      <c r="S191" s="6" t="s">
        <v>115</v>
      </c>
      <c r="T191" s="1">
        <v>2026</v>
      </c>
      <c r="U191" t="s">
        <v>99</v>
      </c>
      <c r="V191">
        <v>2026</v>
      </c>
      <c r="W191" t="s">
        <v>108</v>
      </c>
      <c r="X191">
        <v>2026</v>
      </c>
      <c r="AJ191">
        <v>2026</v>
      </c>
      <c r="AK191">
        <v>2026</v>
      </c>
      <c r="AL191">
        <v>2026</v>
      </c>
      <c r="AN191">
        <v>2026</v>
      </c>
      <c r="AO191">
        <v>2026</v>
      </c>
      <c r="AP191" t="s">
        <v>110</v>
      </c>
      <c r="AQ191">
        <v>2026</v>
      </c>
      <c r="AR191" t="s">
        <v>110</v>
      </c>
      <c r="AS191">
        <v>2026</v>
      </c>
      <c r="AT191">
        <v>2026</v>
      </c>
      <c r="AY191" t="s">
        <v>102</v>
      </c>
      <c r="AZ191">
        <v>2026</v>
      </c>
    </row>
    <row r="192" spans="1:58" x14ac:dyDescent="0.2">
      <c r="A192" t="s">
        <v>314</v>
      </c>
      <c r="B192" t="s">
        <v>315</v>
      </c>
      <c r="C192" s="5">
        <v>44775</v>
      </c>
      <c r="D192" t="s">
        <v>81</v>
      </c>
      <c r="E192" t="s">
        <v>90</v>
      </c>
      <c r="F192" t="s">
        <v>83</v>
      </c>
      <c r="G192" t="s">
        <v>228</v>
      </c>
      <c r="H192" t="s">
        <v>239</v>
      </c>
      <c r="I192" t="s">
        <v>316</v>
      </c>
      <c r="J192" t="s">
        <v>86</v>
      </c>
      <c r="K192" t="s">
        <v>208</v>
      </c>
      <c r="L192" t="s">
        <v>95</v>
      </c>
      <c r="M192">
        <v>35447</v>
      </c>
      <c r="N192" t="s">
        <v>364</v>
      </c>
      <c r="O192" t="s">
        <v>478</v>
      </c>
      <c r="P192" t="s">
        <v>280</v>
      </c>
      <c r="Q192" s="2">
        <v>300534063816770</v>
      </c>
      <c r="R192" s="3" t="s">
        <v>98</v>
      </c>
      <c r="S192" s="6">
        <v>171513</v>
      </c>
      <c r="T192" s="1">
        <v>2022</v>
      </c>
      <c r="W192" t="s">
        <v>245</v>
      </c>
      <c r="X192">
        <v>2022</v>
      </c>
      <c r="Y192" t="s">
        <v>217</v>
      </c>
      <c r="Z192">
        <v>2022</v>
      </c>
      <c r="AA192">
        <v>2022</v>
      </c>
      <c r="AB192">
        <v>2022</v>
      </c>
      <c r="AC192">
        <v>2022</v>
      </c>
      <c r="AD192">
        <v>50193</v>
      </c>
      <c r="AE192" t="s">
        <v>110</v>
      </c>
      <c r="AF192">
        <v>2022</v>
      </c>
      <c r="AT192">
        <v>2022</v>
      </c>
      <c r="AY192" t="s">
        <v>246</v>
      </c>
      <c r="AZ192">
        <v>2022</v>
      </c>
    </row>
    <row r="193" spans="1:58" x14ac:dyDescent="0.2">
      <c r="A193" t="s">
        <v>314</v>
      </c>
      <c r="B193" t="s">
        <v>315</v>
      </c>
      <c r="C193" s="5">
        <v>45188</v>
      </c>
      <c r="D193" t="s">
        <v>81</v>
      </c>
      <c r="E193" t="s">
        <v>90</v>
      </c>
      <c r="F193" t="s">
        <v>83</v>
      </c>
      <c r="G193" t="s">
        <v>228</v>
      </c>
      <c r="H193" t="s">
        <v>239</v>
      </c>
      <c r="I193" t="s">
        <v>316</v>
      </c>
      <c r="J193" t="s">
        <v>168</v>
      </c>
      <c r="K193" t="s">
        <v>208</v>
      </c>
      <c r="L193" t="s">
        <v>95</v>
      </c>
      <c r="M193">
        <v>35447</v>
      </c>
      <c r="N193" t="s">
        <v>364</v>
      </c>
      <c r="O193" t="s">
        <v>309</v>
      </c>
      <c r="P193" t="s">
        <v>280</v>
      </c>
      <c r="Q193" s="2">
        <v>300534063816770</v>
      </c>
      <c r="R193" s="3" t="s">
        <v>98</v>
      </c>
      <c r="S193" s="6">
        <v>171513</v>
      </c>
      <c r="T193" s="1">
        <v>2022</v>
      </c>
      <c r="W193" t="s">
        <v>245</v>
      </c>
      <c r="X193">
        <v>2022</v>
      </c>
      <c r="Y193" t="s">
        <v>217</v>
      </c>
      <c r="Z193">
        <v>2022</v>
      </c>
      <c r="AA193">
        <v>2022</v>
      </c>
      <c r="AB193">
        <v>2022</v>
      </c>
      <c r="AC193">
        <v>2022</v>
      </c>
      <c r="AD193">
        <v>50193</v>
      </c>
      <c r="AE193" t="s">
        <v>110</v>
      </c>
      <c r="AF193">
        <v>2022</v>
      </c>
      <c r="AT193">
        <v>2022</v>
      </c>
      <c r="AY193" t="s">
        <v>246</v>
      </c>
      <c r="AZ193">
        <v>2022</v>
      </c>
    </row>
    <row r="194" spans="1:58" x14ac:dyDescent="0.2">
      <c r="A194" t="s">
        <v>314</v>
      </c>
      <c r="B194" t="s">
        <v>315</v>
      </c>
      <c r="C194" s="5">
        <v>45524</v>
      </c>
      <c r="D194" t="s">
        <v>81</v>
      </c>
      <c r="E194" t="s">
        <v>90</v>
      </c>
      <c r="F194" t="s">
        <v>83</v>
      </c>
      <c r="G194" t="s">
        <v>228</v>
      </c>
      <c r="H194" t="s">
        <v>239</v>
      </c>
      <c r="I194" t="s">
        <v>316</v>
      </c>
      <c r="J194" t="s">
        <v>168</v>
      </c>
      <c r="K194" t="s">
        <v>208</v>
      </c>
      <c r="L194" t="s">
        <v>95</v>
      </c>
      <c r="M194">
        <v>35447</v>
      </c>
      <c r="N194" t="s">
        <v>105</v>
      </c>
      <c r="O194" t="s">
        <v>253</v>
      </c>
      <c r="P194" t="s">
        <v>280</v>
      </c>
      <c r="Q194" s="2">
        <v>300534063816770</v>
      </c>
      <c r="R194" s="3" t="s">
        <v>98</v>
      </c>
      <c r="S194" s="6">
        <v>171513</v>
      </c>
      <c r="T194" s="1">
        <v>2022</v>
      </c>
      <c r="W194" t="s">
        <v>245</v>
      </c>
      <c r="X194">
        <v>2024</v>
      </c>
      <c r="Y194" t="s">
        <v>217</v>
      </c>
      <c r="Z194">
        <v>2022</v>
      </c>
      <c r="AA194">
        <v>2024</v>
      </c>
      <c r="AB194">
        <v>2024</v>
      </c>
      <c r="AC194">
        <v>2024</v>
      </c>
      <c r="AD194">
        <v>50193</v>
      </c>
      <c r="AE194" t="s">
        <v>110</v>
      </c>
      <c r="AF194">
        <v>2022</v>
      </c>
      <c r="AT194">
        <v>2022</v>
      </c>
      <c r="AY194" t="s">
        <v>246</v>
      </c>
      <c r="AZ194">
        <v>2022</v>
      </c>
    </row>
    <row r="195" spans="1:58" x14ac:dyDescent="0.2">
      <c r="A195" t="s">
        <v>314</v>
      </c>
      <c r="B195" t="s">
        <v>315</v>
      </c>
      <c r="C195" s="5">
        <v>45889</v>
      </c>
      <c r="D195" t="s">
        <v>81</v>
      </c>
      <c r="E195" t="s">
        <v>90</v>
      </c>
      <c r="F195" t="s">
        <v>83</v>
      </c>
      <c r="G195" t="s">
        <v>228</v>
      </c>
      <c r="H195" t="s">
        <v>239</v>
      </c>
      <c r="I195" t="s">
        <v>316</v>
      </c>
      <c r="J195" t="s">
        <v>168</v>
      </c>
      <c r="K195" t="s">
        <v>208</v>
      </c>
      <c r="L195" t="s">
        <v>95</v>
      </c>
      <c r="M195">
        <v>35447</v>
      </c>
      <c r="N195" t="s">
        <v>105</v>
      </c>
      <c r="O195" t="s">
        <v>253</v>
      </c>
      <c r="P195" t="s">
        <v>280</v>
      </c>
      <c r="Q195" s="2">
        <v>300534063816770</v>
      </c>
      <c r="R195" s="3" t="s">
        <v>98</v>
      </c>
      <c r="S195" s="6">
        <v>171513</v>
      </c>
      <c r="T195" s="1">
        <v>2022</v>
      </c>
      <c r="W195" t="s">
        <v>245</v>
      </c>
      <c r="X195">
        <v>2025</v>
      </c>
      <c r="Y195" t="s">
        <v>217</v>
      </c>
      <c r="Z195">
        <v>2022</v>
      </c>
      <c r="AA195">
        <v>2025</v>
      </c>
      <c r="AB195">
        <v>2024</v>
      </c>
      <c r="AC195">
        <v>2025</v>
      </c>
      <c r="AD195">
        <v>50193</v>
      </c>
      <c r="AE195" t="s">
        <v>110</v>
      </c>
      <c r="AF195">
        <v>2022</v>
      </c>
      <c r="AT195">
        <v>2022</v>
      </c>
      <c r="AY195" t="s">
        <v>246</v>
      </c>
      <c r="AZ195">
        <v>2022</v>
      </c>
    </row>
    <row r="196" spans="1:58" hidden="1" x14ac:dyDescent="0.2">
      <c r="A196" t="s">
        <v>468</v>
      </c>
      <c r="B196" t="s">
        <v>469</v>
      </c>
      <c r="C196" s="5">
        <v>44775</v>
      </c>
      <c r="D196" t="s">
        <v>81</v>
      </c>
      <c r="E196" t="s">
        <v>82</v>
      </c>
      <c r="F196" t="s">
        <v>83</v>
      </c>
      <c r="G196" t="s">
        <v>228</v>
      </c>
      <c r="H196" t="s">
        <v>341</v>
      </c>
      <c r="I196" t="s">
        <v>316</v>
      </c>
      <c r="J196" t="s">
        <v>168</v>
      </c>
      <c r="K196" t="s">
        <v>208</v>
      </c>
      <c r="L196" t="s">
        <v>95</v>
      </c>
      <c r="O196" t="s">
        <v>467</v>
      </c>
      <c r="P196" t="s">
        <v>233</v>
      </c>
      <c r="Q196" s="2">
        <v>300534060524310</v>
      </c>
      <c r="R196" s="3" t="s">
        <v>98</v>
      </c>
      <c r="S196" s="6" t="s">
        <v>470</v>
      </c>
      <c r="T196" s="1">
        <v>2020</v>
      </c>
      <c r="W196" t="s">
        <v>216</v>
      </c>
      <c r="Y196" t="s">
        <v>217</v>
      </c>
      <c r="Z196" t="s">
        <v>344</v>
      </c>
      <c r="AA196">
        <v>2022</v>
      </c>
      <c r="AB196">
        <v>2022</v>
      </c>
      <c r="AD196">
        <v>50183</v>
      </c>
    </row>
    <row r="197" spans="1:58" hidden="1" x14ac:dyDescent="0.2">
      <c r="A197" t="s">
        <v>469</v>
      </c>
      <c r="B197" t="s">
        <v>469</v>
      </c>
      <c r="C197" s="5">
        <v>33025</v>
      </c>
      <c r="D197" t="s">
        <v>81</v>
      </c>
      <c r="E197" t="s">
        <v>82</v>
      </c>
      <c r="F197" t="s">
        <v>83</v>
      </c>
      <c r="G197" t="s">
        <v>84</v>
      </c>
      <c r="I197" t="s">
        <v>316</v>
      </c>
      <c r="J197" t="s">
        <v>86</v>
      </c>
      <c r="Y197"/>
      <c r="Z197"/>
    </row>
    <row r="198" spans="1:58" hidden="1" x14ac:dyDescent="0.2">
      <c r="A198" t="s">
        <v>471</v>
      </c>
      <c r="B198" t="s">
        <v>257</v>
      </c>
      <c r="C198" s="4">
        <v>43344</v>
      </c>
      <c r="D198" t="s">
        <v>385</v>
      </c>
      <c r="E198" t="s">
        <v>82</v>
      </c>
      <c r="F198" t="s">
        <v>250</v>
      </c>
      <c r="G198" t="s">
        <v>176</v>
      </c>
      <c r="H198" t="s">
        <v>472</v>
      </c>
      <c r="I198" t="s">
        <v>230</v>
      </c>
      <c r="J198" t="s">
        <v>86</v>
      </c>
      <c r="Y198"/>
      <c r="Z198"/>
    </row>
    <row r="199" spans="1:58" hidden="1" x14ac:dyDescent="0.2">
      <c r="A199" t="s">
        <v>471</v>
      </c>
      <c r="B199" t="s">
        <v>257</v>
      </c>
      <c r="C199" s="4">
        <v>45906</v>
      </c>
      <c r="D199" t="s">
        <v>385</v>
      </c>
      <c r="E199" t="s">
        <v>82</v>
      </c>
      <c r="F199" t="s">
        <v>250</v>
      </c>
      <c r="G199" t="s">
        <v>176</v>
      </c>
      <c r="H199" t="s">
        <v>472</v>
      </c>
      <c r="I199" t="s">
        <v>230</v>
      </c>
      <c r="J199" t="s">
        <v>88</v>
      </c>
      <c r="Y199"/>
      <c r="Z199"/>
    </row>
    <row r="200" spans="1:58" hidden="1" x14ac:dyDescent="0.2">
      <c r="A200" t="s">
        <v>473</v>
      </c>
      <c r="B200" t="s">
        <v>257</v>
      </c>
      <c r="C200" s="5">
        <v>41514</v>
      </c>
      <c r="D200" t="s">
        <v>81</v>
      </c>
      <c r="E200" t="s">
        <v>82</v>
      </c>
      <c r="F200" t="s">
        <v>250</v>
      </c>
      <c r="G200" t="s">
        <v>206</v>
      </c>
      <c r="I200" t="s">
        <v>230</v>
      </c>
      <c r="J200" t="s">
        <v>86</v>
      </c>
    </row>
    <row r="201" spans="1:58" hidden="1" x14ac:dyDescent="0.2">
      <c r="A201" t="s">
        <v>473</v>
      </c>
      <c r="B201" t="s">
        <v>257</v>
      </c>
      <c r="C201" s="5">
        <v>45544</v>
      </c>
      <c r="D201" t="s">
        <v>81</v>
      </c>
      <c r="E201" t="s">
        <v>82</v>
      </c>
      <c r="F201" t="s">
        <v>250</v>
      </c>
      <c r="G201" t="s">
        <v>206</v>
      </c>
      <c r="I201" t="s">
        <v>230</v>
      </c>
      <c r="J201" t="s">
        <v>88</v>
      </c>
    </row>
    <row r="202" spans="1:58" x14ac:dyDescent="0.2">
      <c r="A202" t="s">
        <v>314</v>
      </c>
      <c r="B202" t="s">
        <v>315</v>
      </c>
      <c r="C202" s="5">
        <v>46232</v>
      </c>
      <c r="D202" t="s">
        <v>81</v>
      </c>
      <c r="E202" t="s">
        <v>90</v>
      </c>
      <c r="F202" t="s">
        <v>83</v>
      </c>
      <c r="G202" t="s">
        <v>228</v>
      </c>
      <c r="H202" t="s">
        <v>239</v>
      </c>
      <c r="I202" t="s">
        <v>316</v>
      </c>
      <c r="J202" t="s">
        <v>168</v>
      </c>
      <c r="K202" t="s">
        <v>208</v>
      </c>
      <c r="L202" t="s">
        <v>95</v>
      </c>
      <c r="M202">
        <v>35447</v>
      </c>
      <c r="N202" t="s">
        <v>105</v>
      </c>
      <c r="O202" t="s">
        <v>253</v>
      </c>
      <c r="P202" t="s">
        <v>280</v>
      </c>
      <c r="Q202" s="2">
        <v>300534063816770</v>
      </c>
      <c r="R202" s="3" t="s">
        <v>98</v>
      </c>
      <c r="S202" s="6">
        <v>171513</v>
      </c>
      <c r="T202" s="1">
        <v>2022</v>
      </c>
      <c r="W202" t="s">
        <v>245</v>
      </c>
      <c r="X202">
        <v>2026</v>
      </c>
      <c r="Y202" t="s">
        <v>217</v>
      </c>
      <c r="Z202">
        <v>2022</v>
      </c>
      <c r="AA202">
        <v>2026</v>
      </c>
      <c r="AB202">
        <v>2026</v>
      </c>
      <c r="AC202">
        <v>2025</v>
      </c>
      <c r="AD202">
        <v>50193</v>
      </c>
      <c r="AE202" t="s">
        <v>110</v>
      </c>
      <c r="AF202">
        <v>2022</v>
      </c>
      <c r="AT202">
        <v>2022</v>
      </c>
      <c r="AY202" t="s">
        <v>246</v>
      </c>
      <c r="AZ202">
        <v>2022</v>
      </c>
      <c r="BA202" t="s">
        <v>160</v>
      </c>
      <c r="BB202">
        <v>2026</v>
      </c>
    </row>
    <row r="203" spans="1:58" x14ac:dyDescent="0.2">
      <c r="A203" t="s">
        <v>256</v>
      </c>
      <c r="B203" t="s">
        <v>257</v>
      </c>
      <c r="C203" s="5">
        <v>45544</v>
      </c>
      <c r="D203" t="s">
        <v>81</v>
      </c>
      <c r="E203" t="s">
        <v>90</v>
      </c>
      <c r="F203" t="s">
        <v>250</v>
      </c>
      <c r="G203" t="s">
        <v>228</v>
      </c>
      <c r="H203" t="s">
        <v>239</v>
      </c>
      <c r="I203" t="s">
        <v>230</v>
      </c>
      <c r="J203" t="s">
        <v>86</v>
      </c>
      <c r="K203" t="s">
        <v>258</v>
      </c>
      <c r="L203" t="s">
        <v>95</v>
      </c>
      <c r="M203">
        <v>55086</v>
      </c>
      <c r="N203" t="s">
        <v>259</v>
      </c>
      <c r="O203" t="s">
        <v>253</v>
      </c>
      <c r="P203" t="s">
        <v>254</v>
      </c>
      <c r="Q203" s="2">
        <v>300534064381670</v>
      </c>
      <c r="R203" s="3" t="s">
        <v>98</v>
      </c>
      <c r="S203" s="6">
        <v>244327</v>
      </c>
      <c r="T203" s="1">
        <v>2024</v>
      </c>
      <c r="W203" t="s">
        <v>245</v>
      </c>
      <c r="X203">
        <v>2024</v>
      </c>
      <c r="Y203" s="1" t="s">
        <v>217</v>
      </c>
      <c r="Z203" s="1">
        <v>2024</v>
      </c>
      <c r="AA203">
        <v>2024</v>
      </c>
      <c r="AB203">
        <v>2024</v>
      </c>
      <c r="AD203">
        <v>50209</v>
      </c>
      <c r="AE203" t="s">
        <v>110</v>
      </c>
      <c r="AF203">
        <v>2024</v>
      </c>
      <c r="AT203">
        <v>2024</v>
      </c>
      <c r="AY203" t="s">
        <v>246</v>
      </c>
      <c r="AZ203">
        <v>2024</v>
      </c>
      <c r="BF203" t="s">
        <v>376</v>
      </c>
    </row>
    <row r="204" spans="1:58" x14ac:dyDescent="0.2">
      <c r="A204" t="s">
        <v>256</v>
      </c>
      <c r="B204" t="s">
        <v>257</v>
      </c>
      <c r="C204" s="5">
        <v>45908</v>
      </c>
      <c r="D204" t="s">
        <v>81</v>
      </c>
      <c r="E204" t="s">
        <v>90</v>
      </c>
      <c r="F204" t="s">
        <v>250</v>
      </c>
      <c r="G204" t="s">
        <v>228</v>
      </c>
      <c r="H204" t="s">
        <v>239</v>
      </c>
      <c r="I204" t="s">
        <v>230</v>
      </c>
      <c r="J204" t="s">
        <v>168</v>
      </c>
      <c r="K204" t="s">
        <v>258</v>
      </c>
      <c r="L204" t="s">
        <v>95</v>
      </c>
      <c r="M204">
        <v>55086</v>
      </c>
      <c r="N204" t="s">
        <v>259</v>
      </c>
      <c r="O204" t="s">
        <v>253</v>
      </c>
      <c r="P204" t="s">
        <v>254</v>
      </c>
      <c r="Q204" s="2">
        <v>300534064381670</v>
      </c>
      <c r="R204" s="3" t="s">
        <v>98</v>
      </c>
      <c r="S204" s="6" t="s">
        <v>260</v>
      </c>
      <c r="T204" s="1">
        <v>2024</v>
      </c>
      <c r="W204" t="s">
        <v>245</v>
      </c>
      <c r="X204">
        <v>2024</v>
      </c>
      <c r="Y204" s="1" t="s">
        <v>217</v>
      </c>
      <c r="Z204" s="1">
        <v>2025</v>
      </c>
      <c r="AA204">
        <v>2025</v>
      </c>
      <c r="AB204">
        <v>2025</v>
      </c>
      <c r="AC204">
        <v>2025</v>
      </c>
      <c r="AD204">
        <v>50282</v>
      </c>
      <c r="AE204" t="s">
        <v>110</v>
      </c>
      <c r="AF204">
        <v>2025</v>
      </c>
      <c r="AT204">
        <v>2025</v>
      </c>
      <c r="AY204" t="s">
        <v>246</v>
      </c>
      <c r="AZ204">
        <v>2024</v>
      </c>
      <c r="BF204" t="s">
        <v>261</v>
      </c>
    </row>
    <row r="205" spans="1:58" x14ac:dyDescent="0.2">
      <c r="A205" t="s">
        <v>263</v>
      </c>
      <c r="B205" t="s">
        <v>263</v>
      </c>
      <c r="C205" s="5">
        <v>39317</v>
      </c>
      <c r="D205" t="s">
        <v>81</v>
      </c>
      <c r="E205" t="s">
        <v>90</v>
      </c>
      <c r="F205" t="s">
        <v>250</v>
      </c>
      <c r="G205" t="s">
        <v>206</v>
      </c>
      <c r="I205" t="s">
        <v>230</v>
      </c>
      <c r="J205" t="s">
        <v>86</v>
      </c>
    </row>
    <row r="206" spans="1:58" x14ac:dyDescent="0.2">
      <c r="A206" t="s">
        <v>263</v>
      </c>
      <c r="B206" t="s">
        <v>263</v>
      </c>
      <c r="C206" s="5">
        <v>45148</v>
      </c>
      <c r="D206" t="s">
        <v>81</v>
      </c>
      <c r="E206" t="s">
        <v>90</v>
      </c>
      <c r="F206" t="s">
        <v>250</v>
      </c>
      <c r="G206" t="s">
        <v>206</v>
      </c>
      <c r="I206" t="s">
        <v>230</v>
      </c>
      <c r="J206" t="s">
        <v>168</v>
      </c>
      <c r="K206" t="s">
        <v>134</v>
      </c>
      <c r="L206" t="s">
        <v>209</v>
      </c>
      <c r="M206" t="s">
        <v>373</v>
      </c>
      <c r="N206" t="s">
        <v>267</v>
      </c>
      <c r="O206" t="s">
        <v>268</v>
      </c>
      <c r="P206" t="s">
        <v>213</v>
      </c>
      <c r="Q206" s="2">
        <v>300234010884770</v>
      </c>
      <c r="R206" s="3" t="s">
        <v>269</v>
      </c>
      <c r="S206" s="6" t="s">
        <v>374</v>
      </c>
      <c r="T206" s="1" t="s">
        <v>109</v>
      </c>
      <c r="U206" t="s">
        <v>99</v>
      </c>
      <c r="V206" s="1" t="s">
        <v>298</v>
      </c>
      <c r="W206" t="s">
        <v>216</v>
      </c>
      <c r="X206">
        <v>2023</v>
      </c>
      <c r="Y206" s="1" t="s">
        <v>217</v>
      </c>
      <c r="Z206" s="1">
        <v>2023</v>
      </c>
      <c r="AA206">
        <v>2022</v>
      </c>
      <c r="AB206">
        <v>2022</v>
      </c>
      <c r="AD206">
        <v>50212</v>
      </c>
      <c r="AE206" t="s">
        <v>110</v>
      </c>
      <c r="AF206">
        <v>2023</v>
      </c>
      <c r="AG206" s="1" t="s">
        <v>298</v>
      </c>
      <c r="AH206" t="s">
        <v>271</v>
      </c>
      <c r="AI206">
        <v>2023</v>
      </c>
      <c r="AT206" t="s">
        <v>298</v>
      </c>
      <c r="AY206" t="s">
        <v>375</v>
      </c>
      <c r="AZ206" s="1">
        <v>2017</v>
      </c>
    </row>
    <row r="207" spans="1:58" x14ac:dyDescent="0.2">
      <c r="A207" t="s">
        <v>263</v>
      </c>
      <c r="B207" t="s">
        <v>263</v>
      </c>
      <c r="C207" s="5">
        <v>45546</v>
      </c>
      <c r="D207" t="s">
        <v>81</v>
      </c>
      <c r="E207" t="s">
        <v>90</v>
      </c>
      <c r="F207" t="s">
        <v>250</v>
      </c>
      <c r="G207" t="s">
        <v>206</v>
      </c>
      <c r="I207" t="s">
        <v>230</v>
      </c>
      <c r="J207" t="s">
        <v>168</v>
      </c>
      <c r="K207" t="s">
        <v>134</v>
      </c>
      <c r="L207" t="s">
        <v>209</v>
      </c>
      <c r="M207" t="s">
        <v>373</v>
      </c>
      <c r="N207" t="s">
        <v>267</v>
      </c>
      <c r="O207" t="s">
        <v>268</v>
      </c>
      <c r="P207" t="s">
        <v>213</v>
      </c>
      <c r="Q207" s="2">
        <v>300234010884770</v>
      </c>
      <c r="R207" s="3" t="s">
        <v>269</v>
      </c>
      <c r="S207" s="6" t="s">
        <v>374</v>
      </c>
      <c r="T207" s="1" t="s">
        <v>109</v>
      </c>
      <c r="U207" t="s">
        <v>99</v>
      </c>
      <c r="V207" s="1" t="s">
        <v>298</v>
      </c>
      <c r="W207" t="s">
        <v>216</v>
      </c>
      <c r="X207">
        <v>2023</v>
      </c>
      <c r="Y207" s="1" t="s">
        <v>217</v>
      </c>
      <c r="Z207" s="1">
        <v>2023</v>
      </c>
      <c r="AA207">
        <v>2023</v>
      </c>
      <c r="AB207">
        <v>2023</v>
      </c>
      <c r="AD207">
        <v>50212</v>
      </c>
      <c r="AE207" t="s">
        <v>110</v>
      </c>
      <c r="AF207">
        <v>2023</v>
      </c>
      <c r="AG207">
        <v>2024</v>
      </c>
      <c r="AH207" t="s">
        <v>271</v>
      </c>
      <c r="AI207">
        <v>2024</v>
      </c>
      <c r="AT207" t="s">
        <v>298</v>
      </c>
      <c r="AY207" t="s">
        <v>375</v>
      </c>
      <c r="AZ207" s="1">
        <v>2017</v>
      </c>
    </row>
    <row r="208" spans="1:58" x14ac:dyDescent="0.2">
      <c r="A208" t="s">
        <v>263</v>
      </c>
      <c r="B208" t="s">
        <v>263</v>
      </c>
      <c r="C208" s="5">
        <v>45906</v>
      </c>
      <c r="D208" t="s">
        <v>81</v>
      </c>
      <c r="E208" t="s">
        <v>90</v>
      </c>
      <c r="F208" t="s">
        <v>250</v>
      </c>
      <c r="G208" t="s">
        <v>206</v>
      </c>
      <c r="H208" t="s">
        <v>264</v>
      </c>
      <c r="I208" t="s">
        <v>230</v>
      </c>
      <c r="J208" t="s">
        <v>168</v>
      </c>
      <c r="K208" t="s">
        <v>265</v>
      </c>
      <c r="L208" t="s">
        <v>209</v>
      </c>
      <c r="M208" t="s">
        <v>266</v>
      </c>
      <c r="N208" t="s">
        <v>267</v>
      </c>
      <c r="O208" t="s">
        <v>268</v>
      </c>
      <c r="P208" t="s">
        <v>213</v>
      </c>
      <c r="Q208" s="2">
        <v>300234061293280</v>
      </c>
      <c r="R208" s="3" t="s">
        <v>269</v>
      </c>
      <c r="S208" s="6" t="s">
        <v>270</v>
      </c>
      <c r="T208" s="1">
        <v>2024</v>
      </c>
      <c r="U208" t="s">
        <v>99</v>
      </c>
      <c r="V208" s="1">
        <v>2025</v>
      </c>
      <c r="W208" t="s">
        <v>216</v>
      </c>
      <c r="X208">
        <v>2025</v>
      </c>
      <c r="Y208" s="1" t="s">
        <v>217</v>
      </c>
      <c r="Z208" s="1">
        <v>2025</v>
      </c>
      <c r="AA208">
        <v>2025</v>
      </c>
      <c r="AB208">
        <v>2025</v>
      </c>
      <c r="AD208">
        <v>50310</v>
      </c>
      <c r="AE208" t="s">
        <v>110</v>
      </c>
      <c r="AF208">
        <v>2025</v>
      </c>
      <c r="AG208" s="1">
        <v>2024</v>
      </c>
      <c r="AH208" t="s">
        <v>271</v>
      </c>
      <c r="AI208">
        <v>2025</v>
      </c>
      <c r="AT208">
        <v>2025</v>
      </c>
      <c r="AY208" t="s">
        <v>246</v>
      </c>
      <c r="AZ208">
        <v>2025</v>
      </c>
      <c r="BF208" t="s">
        <v>272</v>
      </c>
    </row>
    <row r="209" spans="1:58" x14ac:dyDescent="0.2">
      <c r="A209" t="s">
        <v>421</v>
      </c>
      <c r="B209" t="s">
        <v>421</v>
      </c>
      <c r="C209" s="5">
        <v>40399</v>
      </c>
      <c r="D209" t="s">
        <v>81</v>
      </c>
      <c r="E209" t="s">
        <v>90</v>
      </c>
      <c r="F209" t="s">
        <v>250</v>
      </c>
      <c r="G209" t="s">
        <v>109</v>
      </c>
      <c r="I209" t="s">
        <v>230</v>
      </c>
      <c r="J209" t="s">
        <v>86</v>
      </c>
      <c r="BE209" t="s">
        <v>511</v>
      </c>
    </row>
    <row r="210" spans="1:58" x14ac:dyDescent="0.2">
      <c r="A210" t="s">
        <v>421</v>
      </c>
      <c r="B210" t="s">
        <v>421</v>
      </c>
      <c r="C210" s="5">
        <v>44444</v>
      </c>
      <c r="D210" t="s">
        <v>81</v>
      </c>
      <c r="E210" t="s">
        <v>90</v>
      </c>
      <c r="F210" t="s">
        <v>250</v>
      </c>
      <c r="G210" t="s">
        <v>206</v>
      </c>
      <c r="I210" t="s">
        <v>230</v>
      </c>
      <c r="J210" t="s">
        <v>422</v>
      </c>
      <c r="K210" t="s">
        <v>134</v>
      </c>
      <c r="L210" t="s">
        <v>209</v>
      </c>
      <c r="M210" t="s">
        <v>463</v>
      </c>
      <c r="N210" t="s">
        <v>267</v>
      </c>
      <c r="O210" t="s">
        <v>289</v>
      </c>
      <c r="P210" t="s">
        <v>109</v>
      </c>
      <c r="Q210" s="2">
        <v>300234065153530</v>
      </c>
      <c r="R210" s="3" t="s">
        <v>214</v>
      </c>
      <c r="S210" s="6" t="s">
        <v>423</v>
      </c>
      <c r="T210" s="1">
        <v>2020</v>
      </c>
      <c r="U210" t="s">
        <v>99</v>
      </c>
      <c r="V210" t="s">
        <v>109</v>
      </c>
      <c r="W210" t="s">
        <v>216</v>
      </c>
      <c r="X210">
        <v>2021</v>
      </c>
      <c r="Y210" s="1" t="s">
        <v>217</v>
      </c>
      <c r="Z210" s="1">
        <v>2021</v>
      </c>
      <c r="AA210">
        <v>2021</v>
      </c>
      <c r="AB210">
        <v>2021</v>
      </c>
      <c r="AD210">
        <v>50188</v>
      </c>
      <c r="AE210" t="s">
        <v>110</v>
      </c>
      <c r="AF210">
        <v>2021</v>
      </c>
      <c r="AG210" t="s">
        <v>109</v>
      </c>
      <c r="AH210" t="s">
        <v>291</v>
      </c>
      <c r="AI210">
        <v>2021</v>
      </c>
      <c r="AT210" t="s">
        <v>109</v>
      </c>
      <c r="AY210" t="s">
        <v>246</v>
      </c>
      <c r="AZ210">
        <v>2021</v>
      </c>
      <c r="BF210" t="s">
        <v>496</v>
      </c>
    </row>
    <row r="211" spans="1:58" x14ac:dyDescent="0.2">
      <c r="A211" t="s">
        <v>421</v>
      </c>
      <c r="B211" t="s">
        <v>421</v>
      </c>
      <c r="C211" s="5">
        <v>44697</v>
      </c>
      <c r="D211" t="s">
        <v>81</v>
      </c>
      <c r="E211" t="s">
        <v>90</v>
      </c>
      <c r="F211" t="s">
        <v>250</v>
      </c>
      <c r="G211" t="s">
        <v>206</v>
      </c>
      <c r="I211" t="s">
        <v>230</v>
      </c>
      <c r="J211" t="s">
        <v>422</v>
      </c>
      <c r="K211" t="s">
        <v>134</v>
      </c>
      <c r="L211" t="s">
        <v>209</v>
      </c>
      <c r="M211" t="s">
        <v>463</v>
      </c>
      <c r="N211" t="s">
        <v>267</v>
      </c>
      <c r="O211" t="s">
        <v>289</v>
      </c>
      <c r="P211" t="s">
        <v>109</v>
      </c>
      <c r="Q211" s="2">
        <v>300234065153530</v>
      </c>
      <c r="R211" s="3" t="s">
        <v>214</v>
      </c>
      <c r="S211" s="6" t="s">
        <v>423</v>
      </c>
      <c r="T211" s="1">
        <v>2020</v>
      </c>
      <c r="U211" t="s">
        <v>99</v>
      </c>
      <c r="V211" t="s">
        <v>109</v>
      </c>
      <c r="W211" t="s">
        <v>216</v>
      </c>
      <c r="X211">
        <v>2021</v>
      </c>
      <c r="Y211" s="1" t="s">
        <v>217</v>
      </c>
      <c r="Z211" s="1">
        <v>2021</v>
      </c>
      <c r="AA211">
        <v>2022</v>
      </c>
      <c r="AB211">
        <v>2022</v>
      </c>
      <c r="AD211">
        <v>50188</v>
      </c>
      <c r="AE211" t="s">
        <v>110</v>
      </c>
      <c r="AF211">
        <v>2021</v>
      </c>
      <c r="AG211" s="1">
        <v>2022</v>
      </c>
      <c r="AH211" t="s">
        <v>291</v>
      </c>
      <c r="AI211">
        <v>2022</v>
      </c>
      <c r="AT211" t="s">
        <v>109</v>
      </c>
      <c r="AY211" t="s">
        <v>246</v>
      </c>
      <c r="AZ211">
        <v>2021</v>
      </c>
      <c r="BE211" t="s">
        <v>493</v>
      </c>
    </row>
    <row r="212" spans="1:58" x14ac:dyDescent="0.2">
      <c r="A212" t="s">
        <v>421</v>
      </c>
      <c r="B212" t="s">
        <v>421</v>
      </c>
      <c r="C212" s="5">
        <v>45077</v>
      </c>
      <c r="D212" t="s">
        <v>81</v>
      </c>
      <c r="E212" t="s">
        <v>90</v>
      </c>
      <c r="F212" t="s">
        <v>250</v>
      </c>
      <c r="G212" t="s">
        <v>206</v>
      </c>
      <c r="I212" t="s">
        <v>230</v>
      </c>
      <c r="J212" t="s">
        <v>422</v>
      </c>
      <c r="K212" t="s">
        <v>134</v>
      </c>
      <c r="L212" t="s">
        <v>209</v>
      </c>
      <c r="M212" t="s">
        <v>463</v>
      </c>
      <c r="N212" t="s">
        <v>267</v>
      </c>
      <c r="O212" t="s">
        <v>289</v>
      </c>
      <c r="P212" t="s">
        <v>109</v>
      </c>
      <c r="Q212" s="2">
        <v>300234065153530</v>
      </c>
      <c r="R212" s="3" t="s">
        <v>214</v>
      </c>
      <c r="S212" s="6" t="s">
        <v>423</v>
      </c>
      <c r="T212" s="1">
        <v>2020</v>
      </c>
      <c r="U212" t="s">
        <v>99</v>
      </c>
      <c r="V212" t="s">
        <v>109</v>
      </c>
      <c r="W212" t="s">
        <v>216</v>
      </c>
      <c r="X212">
        <v>2021</v>
      </c>
      <c r="Y212" s="1" t="s">
        <v>217</v>
      </c>
      <c r="Z212" s="1">
        <v>2021</v>
      </c>
      <c r="AA212">
        <v>2023</v>
      </c>
      <c r="AB212">
        <v>2022</v>
      </c>
      <c r="AD212">
        <v>50188</v>
      </c>
      <c r="AE212" t="s">
        <v>110</v>
      </c>
      <c r="AF212">
        <v>2021</v>
      </c>
      <c r="AG212" s="1">
        <v>2022</v>
      </c>
      <c r="AH212" t="s">
        <v>291</v>
      </c>
      <c r="AI212">
        <v>2022</v>
      </c>
      <c r="AT212" t="s">
        <v>109</v>
      </c>
      <c r="AY212" t="s">
        <v>246</v>
      </c>
      <c r="AZ212">
        <v>2021</v>
      </c>
    </row>
    <row r="213" spans="1:58" x14ac:dyDescent="0.2">
      <c r="A213" t="s">
        <v>421</v>
      </c>
      <c r="B213" t="s">
        <v>421</v>
      </c>
      <c r="C213" s="5">
        <v>45422</v>
      </c>
      <c r="D213" t="s">
        <v>81</v>
      </c>
      <c r="E213" t="s">
        <v>90</v>
      </c>
      <c r="F213" t="s">
        <v>250</v>
      </c>
      <c r="G213" t="s">
        <v>206</v>
      </c>
      <c r="I213" t="s">
        <v>230</v>
      </c>
      <c r="J213" t="s">
        <v>422</v>
      </c>
      <c r="K213" t="s">
        <v>134</v>
      </c>
      <c r="L213" t="s">
        <v>209</v>
      </c>
      <c r="M213" t="s">
        <v>649</v>
      </c>
      <c r="N213" t="s">
        <v>267</v>
      </c>
      <c r="O213" t="s">
        <v>212</v>
      </c>
      <c r="P213" t="s">
        <v>213</v>
      </c>
      <c r="Q213" s="2">
        <v>300234065153530</v>
      </c>
      <c r="R213" s="3" t="s">
        <v>214</v>
      </c>
      <c r="S213" s="6" t="s">
        <v>423</v>
      </c>
      <c r="T213" s="1">
        <v>2020</v>
      </c>
      <c r="U213" t="s">
        <v>99</v>
      </c>
      <c r="V213" t="s">
        <v>109</v>
      </c>
      <c r="W213" t="s">
        <v>216</v>
      </c>
      <c r="X213">
        <v>2024</v>
      </c>
      <c r="Y213" s="1" t="s">
        <v>217</v>
      </c>
      <c r="Z213" s="1">
        <v>2021</v>
      </c>
      <c r="AA213">
        <v>2024</v>
      </c>
      <c r="AB213">
        <v>2024</v>
      </c>
      <c r="AD213">
        <v>50188</v>
      </c>
      <c r="AE213" t="s">
        <v>110</v>
      </c>
      <c r="AF213">
        <v>2021</v>
      </c>
      <c r="AG213" s="1">
        <v>2022</v>
      </c>
      <c r="AH213" t="s">
        <v>291</v>
      </c>
      <c r="AI213">
        <v>2022</v>
      </c>
      <c r="AT213" t="s">
        <v>109</v>
      </c>
      <c r="AY213" t="s">
        <v>246</v>
      </c>
      <c r="AZ213">
        <v>2021</v>
      </c>
      <c r="BF213" t="s">
        <v>424</v>
      </c>
    </row>
    <row r="214" spans="1:58" x14ac:dyDescent="0.2">
      <c r="A214" t="s">
        <v>421</v>
      </c>
      <c r="B214" t="s">
        <v>421</v>
      </c>
      <c r="C214" s="5">
        <v>46167</v>
      </c>
      <c r="D214" t="s">
        <v>81</v>
      </c>
      <c r="E214" t="s">
        <v>90</v>
      </c>
      <c r="F214" t="s">
        <v>250</v>
      </c>
      <c r="G214" t="s">
        <v>206</v>
      </c>
      <c r="I214" t="s">
        <v>230</v>
      </c>
      <c r="J214" t="s">
        <v>422</v>
      </c>
      <c r="K214" t="s">
        <v>134</v>
      </c>
      <c r="L214" t="s">
        <v>209</v>
      </c>
      <c r="M214" t="s">
        <v>649</v>
      </c>
      <c r="N214" t="s">
        <v>445</v>
      </c>
      <c r="O214" t="s">
        <v>212</v>
      </c>
      <c r="P214" t="s">
        <v>213</v>
      </c>
      <c r="Q214" s="2">
        <v>300234065153530</v>
      </c>
      <c r="R214" s="3" t="s">
        <v>214</v>
      </c>
      <c r="S214" s="6" t="s">
        <v>563</v>
      </c>
      <c r="T214" s="1">
        <v>2024</v>
      </c>
      <c r="U214" t="s">
        <v>99</v>
      </c>
      <c r="V214" t="s">
        <v>109</v>
      </c>
      <c r="W214" t="s">
        <v>216</v>
      </c>
      <c r="X214">
        <v>2024</v>
      </c>
      <c r="Y214" s="1" t="s">
        <v>650</v>
      </c>
      <c r="Z214" s="1">
        <v>2026</v>
      </c>
      <c r="AA214">
        <v>2025</v>
      </c>
      <c r="AB214">
        <v>2026</v>
      </c>
      <c r="AD214" s="7" t="s">
        <v>619</v>
      </c>
      <c r="AE214" t="s">
        <v>110</v>
      </c>
      <c r="AF214">
        <v>2026</v>
      </c>
      <c r="AG214" s="1">
        <v>2022</v>
      </c>
      <c r="AH214" t="s">
        <v>291</v>
      </c>
      <c r="AI214">
        <v>2022</v>
      </c>
      <c r="AT214">
        <v>2026</v>
      </c>
      <c r="AY214" t="s">
        <v>246</v>
      </c>
      <c r="AZ214">
        <v>2021</v>
      </c>
      <c r="BE214" t="s">
        <v>651</v>
      </c>
      <c r="BF214" t="s">
        <v>656</v>
      </c>
    </row>
    <row r="215" spans="1:58" x14ac:dyDescent="0.2">
      <c r="A215" t="s">
        <v>426</v>
      </c>
      <c r="B215" t="s">
        <v>426</v>
      </c>
      <c r="C215" s="5">
        <v>44697</v>
      </c>
      <c r="D215" t="s">
        <v>81</v>
      </c>
      <c r="E215" t="s">
        <v>90</v>
      </c>
      <c r="F215" t="s">
        <v>250</v>
      </c>
      <c r="G215" t="s">
        <v>206</v>
      </c>
      <c r="I215" t="s">
        <v>230</v>
      </c>
      <c r="J215" t="s">
        <v>86</v>
      </c>
      <c r="K215" t="s">
        <v>427</v>
      </c>
      <c r="L215" t="s">
        <v>209</v>
      </c>
      <c r="M215" t="s">
        <v>428</v>
      </c>
      <c r="N215" t="s">
        <v>267</v>
      </c>
      <c r="O215" t="s">
        <v>289</v>
      </c>
      <c r="P215" t="s">
        <v>213</v>
      </c>
      <c r="Q215" s="2">
        <v>300234065158630</v>
      </c>
      <c r="R215" s="3" t="s">
        <v>269</v>
      </c>
      <c r="S215" s="6" t="s">
        <v>464</v>
      </c>
      <c r="T215" s="1" t="s">
        <v>109</v>
      </c>
      <c r="U215" t="s">
        <v>99</v>
      </c>
      <c r="V215" s="1">
        <v>2022</v>
      </c>
      <c r="W215" t="s">
        <v>216</v>
      </c>
      <c r="X215">
        <v>2022</v>
      </c>
      <c r="Y215" s="1" t="s">
        <v>217</v>
      </c>
      <c r="Z215" s="1">
        <v>2022</v>
      </c>
      <c r="AB215">
        <v>2022</v>
      </c>
      <c r="AD215">
        <v>50185</v>
      </c>
      <c r="AE215" t="s">
        <v>110</v>
      </c>
      <c r="AF215">
        <v>2022</v>
      </c>
      <c r="AG215" s="1">
        <v>2022</v>
      </c>
      <c r="AH215" t="s">
        <v>109</v>
      </c>
      <c r="AI215">
        <v>2022</v>
      </c>
      <c r="AT215">
        <v>2022</v>
      </c>
      <c r="AY215" t="s">
        <v>246</v>
      </c>
      <c r="AZ215">
        <v>2022</v>
      </c>
    </row>
    <row r="216" spans="1:58" x14ac:dyDescent="0.2">
      <c r="A216" t="s">
        <v>426</v>
      </c>
      <c r="B216" t="s">
        <v>426</v>
      </c>
      <c r="C216" s="5">
        <v>45077</v>
      </c>
      <c r="D216" t="s">
        <v>81</v>
      </c>
      <c r="E216" t="s">
        <v>90</v>
      </c>
      <c r="F216" t="s">
        <v>250</v>
      </c>
      <c r="G216" t="s">
        <v>206</v>
      </c>
      <c r="I216" t="s">
        <v>230</v>
      </c>
      <c r="J216" t="s">
        <v>168</v>
      </c>
      <c r="K216" t="s">
        <v>427</v>
      </c>
      <c r="L216" t="s">
        <v>209</v>
      </c>
      <c r="M216" t="s">
        <v>428</v>
      </c>
      <c r="N216" t="s">
        <v>267</v>
      </c>
      <c r="O216" t="s">
        <v>289</v>
      </c>
      <c r="P216" t="s">
        <v>213</v>
      </c>
      <c r="Q216" s="2">
        <v>300234065158630</v>
      </c>
      <c r="R216" s="3" t="s">
        <v>269</v>
      </c>
      <c r="S216" s="6" t="s">
        <v>464</v>
      </c>
      <c r="T216" s="1" t="s">
        <v>109</v>
      </c>
      <c r="U216" t="s">
        <v>99</v>
      </c>
      <c r="V216" s="1">
        <v>2022</v>
      </c>
      <c r="W216" t="s">
        <v>216</v>
      </c>
      <c r="X216">
        <v>2023</v>
      </c>
      <c r="Y216" s="1" t="s">
        <v>217</v>
      </c>
      <c r="Z216" s="1">
        <v>2022</v>
      </c>
      <c r="AB216">
        <v>2023</v>
      </c>
      <c r="AD216">
        <v>50185</v>
      </c>
      <c r="AE216" t="s">
        <v>110</v>
      </c>
      <c r="AF216">
        <v>2022</v>
      </c>
      <c r="AG216">
        <v>2022</v>
      </c>
      <c r="AH216" t="s">
        <v>109</v>
      </c>
      <c r="AI216">
        <v>2023</v>
      </c>
      <c r="AT216">
        <v>2022</v>
      </c>
      <c r="AY216" t="s">
        <v>246</v>
      </c>
      <c r="AZ216">
        <v>2022</v>
      </c>
      <c r="BF216" t="s">
        <v>465</v>
      </c>
    </row>
    <row r="217" spans="1:58" x14ac:dyDescent="0.2">
      <c r="A217" t="s">
        <v>426</v>
      </c>
      <c r="B217" t="s">
        <v>426</v>
      </c>
      <c r="C217" s="5">
        <v>45422</v>
      </c>
      <c r="D217" t="s">
        <v>81</v>
      </c>
      <c r="E217" t="s">
        <v>90</v>
      </c>
      <c r="F217" t="s">
        <v>250</v>
      </c>
      <c r="G217" t="s">
        <v>206</v>
      </c>
      <c r="I217" t="s">
        <v>230</v>
      </c>
      <c r="J217" t="s">
        <v>168</v>
      </c>
      <c r="K217" t="s">
        <v>427</v>
      </c>
      <c r="L217" t="s">
        <v>209</v>
      </c>
      <c r="M217" t="s">
        <v>428</v>
      </c>
      <c r="N217" t="s">
        <v>267</v>
      </c>
      <c r="O217" t="s">
        <v>212</v>
      </c>
      <c r="P217" t="s">
        <v>213</v>
      </c>
      <c r="Q217" s="2">
        <v>300234065158630</v>
      </c>
      <c r="R217" s="3" t="s">
        <v>269</v>
      </c>
      <c r="S217" s="6" t="s">
        <v>429</v>
      </c>
      <c r="T217" s="1">
        <v>2023</v>
      </c>
      <c r="U217" t="s">
        <v>99</v>
      </c>
      <c r="V217" s="1">
        <v>2022</v>
      </c>
      <c r="W217" t="s">
        <v>216</v>
      </c>
      <c r="X217">
        <v>2024</v>
      </c>
      <c r="Y217" s="1" t="s">
        <v>217</v>
      </c>
      <c r="Z217" s="1">
        <v>2022</v>
      </c>
      <c r="AA217">
        <v>2024</v>
      </c>
      <c r="AB217">
        <v>2024</v>
      </c>
      <c r="AD217">
        <v>50185</v>
      </c>
      <c r="AE217" t="s">
        <v>110</v>
      </c>
      <c r="AF217">
        <v>2022</v>
      </c>
      <c r="AG217" s="1">
        <v>2022</v>
      </c>
      <c r="AH217" t="s">
        <v>109</v>
      </c>
      <c r="AI217">
        <v>2024</v>
      </c>
      <c r="AT217">
        <v>2022</v>
      </c>
      <c r="AY217" t="s">
        <v>246</v>
      </c>
      <c r="AZ217">
        <v>2022</v>
      </c>
      <c r="BF217" t="s">
        <v>430</v>
      </c>
    </row>
    <row r="218" spans="1:58" hidden="1" x14ac:dyDescent="0.2">
      <c r="A218" t="s">
        <v>486</v>
      </c>
      <c r="B218" t="s">
        <v>486</v>
      </c>
      <c r="C218" s="5">
        <v>44689</v>
      </c>
      <c r="D218" t="s">
        <v>81</v>
      </c>
      <c r="E218" t="s">
        <v>82</v>
      </c>
      <c r="F218" t="s">
        <v>250</v>
      </c>
      <c r="G218" t="s">
        <v>206</v>
      </c>
      <c r="I218" t="s">
        <v>230</v>
      </c>
      <c r="J218" t="s">
        <v>88</v>
      </c>
      <c r="Q218" s="2" t="s">
        <v>84</v>
      </c>
    </row>
    <row r="219" spans="1:58" hidden="1" x14ac:dyDescent="0.2">
      <c r="A219" t="s">
        <v>486</v>
      </c>
      <c r="B219" t="s">
        <v>486</v>
      </c>
      <c r="C219" s="5">
        <v>40399</v>
      </c>
      <c r="D219" t="s">
        <v>81</v>
      </c>
      <c r="E219" t="s">
        <v>82</v>
      </c>
      <c r="F219" t="s">
        <v>250</v>
      </c>
      <c r="G219" t="s">
        <v>84</v>
      </c>
      <c r="I219" t="s">
        <v>230</v>
      </c>
      <c r="J219" t="s">
        <v>86</v>
      </c>
      <c r="Q219" s="2" t="s">
        <v>84</v>
      </c>
    </row>
    <row r="220" spans="1:58" hidden="1" x14ac:dyDescent="0.2">
      <c r="A220" t="s">
        <v>411</v>
      </c>
      <c r="B220" t="s">
        <v>411</v>
      </c>
      <c r="C220" s="5">
        <v>43242</v>
      </c>
      <c r="D220" t="s">
        <v>81</v>
      </c>
      <c r="E220" t="s">
        <v>82</v>
      </c>
      <c r="F220" t="s">
        <v>250</v>
      </c>
      <c r="G220" t="s">
        <v>206</v>
      </c>
      <c r="I220" t="s">
        <v>230</v>
      </c>
      <c r="J220" t="s">
        <v>86</v>
      </c>
      <c r="Q220" s="2" t="s">
        <v>84</v>
      </c>
    </row>
    <row r="221" spans="1:58" hidden="1" x14ac:dyDescent="0.2">
      <c r="A221" t="s">
        <v>411</v>
      </c>
      <c r="B221" t="s">
        <v>411</v>
      </c>
      <c r="C221" s="5">
        <v>45423</v>
      </c>
      <c r="D221" t="s">
        <v>81</v>
      </c>
      <c r="E221" t="s">
        <v>82</v>
      </c>
      <c r="F221" t="s">
        <v>250</v>
      </c>
      <c r="G221" t="s">
        <v>206</v>
      </c>
      <c r="I221" t="s">
        <v>230</v>
      </c>
      <c r="J221" t="s">
        <v>88</v>
      </c>
      <c r="Q221" s="2" t="s">
        <v>84</v>
      </c>
    </row>
    <row r="222" spans="1:58" x14ac:dyDescent="0.2">
      <c r="A222" t="s">
        <v>426</v>
      </c>
      <c r="B222" t="s">
        <v>426</v>
      </c>
      <c r="C222" s="5">
        <v>46167</v>
      </c>
      <c r="D222" t="s">
        <v>81</v>
      </c>
      <c r="E222" t="s">
        <v>90</v>
      </c>
      <c r="F222" t="s">
        <v>250</v>
      </c>
      <c r="G222" t="s">
        <v>206</v>
      </c>
      <c r="I222" t="s">
        <v>230</v>
      </c>
      <c r="J222" t="s">
        <v>168</v>
      </c>
      <c r="K222" t="s">
        <v>427</v>
      </c>
      <c r="L222" t="s">
        <v>209</v>
      </c>
      <c r="M222" t="s">
        <v>428</v>
      </c>
      <c r="N222" t="s">
        <v>267</v>
      </c>
      <c r="O222" t="s">
        <v>212</v>
      </c>
      <c r="P222" t="s">
        <v>213</v>
      </c>
      <c r="Q222" s="2">
        <v>300234065158630</v>
      </c>
      <c r="R222" s="3" t="s">
        <v>269</v>
      </c>
      <c r="S222" s="6" t="s">
        <v>429</v>
      </c>
      <c r="T222" s="1">
        <v>2023</v>
      </c>
      <c r="U222" t="s">
        <v>99</v>
      </c>
      <c r="V222" s="1">
        <v>2022</v>
      </c>
      <c r="W222" t="s">
        <v>216</v>
      </c>
      <c r="X222">
        <v>2024</v>
      </c>
      <c r="Y222" s="1" t="s">
        <v>650</v>
      </c>
      <c r="Z222" s="1">
        <v>2026</v>
      </c>
      <c r="AA222" s="1">
        <v>2026</v>
      </c>
      <c r="AB222" s="1">
        <v>2026</v>
      </c>
      <c r="AD222" s="7" t="s">
        <v>625</v>
      </c>
      <c r="AE222" t="s">
        <v>110</v>
      </c>
      <c r="AF222">
        <v>2022</v>
      </c>
      <c r="AG222" s="1">
        <v>2022</v>
      </c>
      <c r="AH222" t="s">
        <v>109</v>
      </c>
      <c r="AI222">
        <v>2024</v>
      </c>
      <c r="AT222">
        <v>2026</v>
      </c>
      <c r="AY222" t="s">
        <v>246</v>
      </c>
      <c r="AZ222">
        <v>2022</v>
      </c>
      <c r="BE222" t="s">
        <v>652</v>
      </c>
      <c r="BF222" t="s">
        <v>653</v>
      </c>
    </row>
    <row r="223" spans="1:58" x14ac:dyDescent="0.2">
      <c r="A223" t="s">
        <v>410</v>
      </c>
      <c r="B223" t="s">
        <v>411</v>
      </c>
      <c r="C223" s="5">
        <v>45423</v>
      </c>
      <c r="D223" t="s">
        <v>81</v>
      </c>
      <c r="E223" t="s">
        <v>90</v>
      </c>
      <c r="F223" t="s">
        <v>250</v>
      </c>
      <c r="G223" t="s">
        <v>228</v>
      </c>
      <c r="H223" t="s">
        <v>239</v>
      </c>
      <c r="I223" t="s">
        <v>230</v>
      </c>
      <c r="J223" t="s">
        <v>86</v>
      </c>
      <c r="K223" t="s">
        <v>412</v>
      </c>
      <c r="L223" t="s">
        <v>95</v>
      </c>
      <c r="M223">
        <v>12994</v>
      </c>
      <c r="N223" t="s">
        <v>259</v>
      </c>
      <c r="O223" t="s">
        <v>253</v>
      </c>
      <c r="P223" t="s">
        <v>254</v>
      </c>
      <c r="Q223" s="2">
        <v>300234068420030</v>
      </c>
      <c r="R223" s="3" t="s">
        <v>98</v>
      </c>
      <c r="S223" s="6">
        <v>233747</v>
      </c>
      <c r="T223" s="1">
        <v>2023</v>
      </c>
      <c r="W223" t="s">
        <v>245</v>
      </c>
      <c r="X223">
        <v>2024</v>
      </c>
      <c r="Y223" s="1" t="s">
        <v>217</v>
      </c>
      <c r="Z223" s="1">
        <v>2024</v>
      </c>
      <c r="AA223">
        <v>2024</v>
      </c>
      <c r="AB223">
        <v>2024</v>
      </c>
      <c r="AC223">
        <v>2024</v>
      </c>
      <c r="AD223">
        <v>50211</v>
      </c>
      <c r="AE223" t="s">
        <v>110</v>
      </c>
      <c r="AF223">
        <v>2024</v>
      </c>
      <c r="AT223">
        <v>2024</v>
      </c>
      <c r="AY223" t="s">
        <v>246</v>
      </c>
      <c r="AZ223">
        <v>2024</v>
      </c>
    </row>
    <row r="224" spans="1:58" x14ac:dyDescent="0.2">
      <c r="A224" t="s">
        <v>410</v>
      </c>
      <c r="B224" t="s">
        <v>411</v>
      </c>
      <c r="C224" s="5">
        <v>46167</v>
      </c>
      <c r="D224" t="s">
        <v>81</v>
      </c>
      <c r="E224" t="s">
        <v>90</v>
      </c>
      <c r="F224" t="s">
        <v>250</v>
      </c>
      <c r="G224" t="s">
        <v>228</v>
      </c>
      <c r="H224" t="s">
        <v>239</v>
      </c>
      <c r="I224" t="s">
        <v>230</v>
      </c>
      <c r="J224" t="s">
        <v>93</v>
      </c>
      <c r="K224" t="s">
        <v>412</v>
      </c>
      <c r="L224" t="s">
        <v>95</v>
      </c>
      <c r="M224">
        <v>12994</v>
      </c>
      <c r="N224" t="s">
        <v>259</v>
      </c>
      <c r="O224" t="s">
        <v>253</v>
      </c>
      <c r="P224" t="s">
        <v>254</v>
      </c>
      <c r="Q224" s="2">
        <v>300234068420030</v>
      </c>
      <c r="R224" s="3" t="s">
        <v>98</v>
      </c>
      <c r="S224" s="6" t="s">
        <v>594</v>
      </c>
      <c r="T224" s="1">
        <v>2026</v>
      </c>
      <c r="U224" t="s">
        <v>99</v>
      </c>
      <c r="V224" s="1">
        <v>2026</v>
      </c>
      <c r="W224" t="s">
        <v>245</v>
      </c>
      <c r="X224">
        <v>2024</v>
      </c>
      <c r="Y224" s="1" t="s">
        <v>217</v>
      </c>
      <c r="Z224" s="1">
        <v>2024</v>
      </c>
      <c r="AA224" s="1">
        <v>2024</v>
      </c>
      <c r="AB224" s="1">
        <v>2026</v>
      </c>
      <c r="AC224" s="1">
        <v>2026</v>
      </c>
      <c r="AD224">
        <v>50211</v>
      </c>
      <c r="AE224" t="s">
        <v>110</v>
      </c>
      <c r="AF224" s="1">
        <v>2026</v>
      </c>
      <c r="AT224">
        <v>2024</v>
      </c>
      <c r="AY224" t="s">
        <v>246</v>
      </c>
      <c r="AZ224">
        <v>2024</v>
      </c>
      <c r="BE224" t="s">
        <v>654</v>
      </c>
    </row>
    <row r="225" spans="1:58" x14ac:dyDescent="0.2">
      <c r="A225" t="s">
        <v>89</v>
      </c>
      <c r="B225" t="s">
        <v>89</v>
      </c>
      <c r="C225" s="5">
        <v>44708</v>
      </c>
      <c r="D225" t="s">
        <v>81</v>
      </c>
      <c r="E225" t="s">
        <v>90</v>
      </c>
      <c r="F225" t="s">
        <v>83</v>
      </c>
      <c r="G225" t="s">
        <v>221</v>
      </c>
      <c r="I225" t="s">
        <v>85</v>
      </c>
      <c r="J225" t="s">
        <v>93</v>
      </c>
      <c r="K225" t="s">
        <v>134</v>
      </c>
      <c r="L225" t="s">
        <v>95</v>
      </c>
      <c r="M225">
        <v>31345</v>
      </c>
      <c r="N225" t="s">
        <v>431</v>
      </c>
      <c r="O225" t="s">
        <v>483</v>
      </c>
      <c r="P225" t="s">
        <v>109</v>
      </c>
      <c r="Q225" s="2">
        <v>300534063816570</v>
      </c>
      <c r="R225" s="3" t="s">
        <v>98</v>
      </c>
      <c r="S225" s="6">
        <v>213149</v>
      </c>
      <c r="T225" s="1">
        <v>2021</v>
      </c>
      <c r="W225" t="s">
        <v>403</v>
      </c>
      <c r="X225">
        <v>2022</v>
      </c>
      <c r="Y225"/>
      <c r="Z225"/>
      <c r="AJ225">
        <v>2022</v>
      </c>
      <c r="AP225" t="s">
        <v>101</v>
      </c>
      <c r="AQ225">
        <v>2022</v>
      </c>
      <c r="AR225" t="s">
        <v>101</v>
      </c>
      <c r="AS225">
        <v>2022</v>
      </c>
      <c r="AT225">
        <v>2022</v>
      </c>
      <c r="AY225" t="s">
        <v>109</v>
      </c>
      <c r="AZ225">
        <v>2022</v>
      </c>
    </row>
    <row r="226" spans="1:58" x14ac:dyDescent="0.2">
      <c r="A226" t="s">
        <v>89</v>
      </c>
      <c r="B226" t="s">
        <v>89</v>
      </c>
      <c r="C226" s="5">
        <v>45097</v>
      </c>
      <c r="D226" t="s">
        <v>81</v>
      </c>
      <c r="E226" t="s">
        <v>90</v>
      </c>
      <c r="F226" t="s">
        <v>83</v>
      </c>
      <c r="G226" t="s">
        <v>221</v>
      </c>
      <c r="I226" t="s">
        <v>85</v>
      </c>
      <c r="J226" t="s">
        <v>93</v>
      </c>
      <c r="K226" t="s">
        <v>134</v>
      </c>
      <c r="L226" t="s">
        <v>95</v>
      </c>
      <c r="M226">
        <v>31345</v>
      </c>
      <c r="N226" t="s">
        <v>431</v>
      </c>
      <c r="O226" t="s">
        <v>432</v>
      </c>
      <c r="P226" t="s">
        <v>109</v>
      </c>
      <c r="Q226" s="2">
        <v>300534063816570</v>
      </c>
      <c r="R226" s="3" t="s">
        <v>98</v>
      </c>
      <c r="S226" s="6">
        <v>213149</v>
      </c>
      <c r="T226" s="1">
        <v>2021</v>
      </c>
      <c r="W226" t="s">
        <v>403</v>
      </c>
      <c r="X226">
        <v>2023</v>
      </c>
      <c r="Y226"/>
      <c r="Z226"/>
      <c r="AJ226">
        <v>2023</v>
      </c>
      <c r="AK226">
        <v>2023</v>
      </c>
      <c r="AP226" t="s">
        <v>101</v>
      </c>
      <c r="AQ226">
        <v>2022</v>
      </c>
      <c r="AR226" t="s">
        <v>101</v>
      </c>
      <c r="AS226">
        <v>2022</v>
      </c>
      <c r="AT226">
        <v>2022</v>
      </c>
      <c r="AY226" t="s">
        <v>404</v>
      </c>
      <c r="AZ226">
        <v>2023</v>
      </c>
      <c r="BF226" t="s">
        <v>457</v>
      </c>
    </row>
    <row r="227" spans="1:58" x14ac:dyDescent="0.2">
      <c r="A227" t="s">
        <v>89</v>
      </c>
      <c r="B227" t="s">
        <v>89</v>
      </c>
      <c r="C227" s="5">
        <v>45459</v>
      </c>
      <c r="D227" t="s">
        <v>81</v>
      </c>
      <c r="E227" t="s">
        <v>90</v>
      </c>
      <c r="F227" t="s">
        <v>83</v>
      </c>
      <c r="G227" t="s">
        <v>91</v>
      </c>
      <c r="H227" t="s">
        <v>92</v>
      </c>
      <c r="I227" t="s">
        <v>85</v>
      </c>
      <c r="J227" t="s">
        <v>93</v>
      </c>
      <c r="K227" t="s">
        <v>94</v>
      </c>
      <c r="L227" t="s">
        <v>95</v>
      </c>
      <c r="M227">
        <v>41784</v>
      </c>
      <c r="N227" t="s">
        <v>96</v>
      </c>
      <c r="O227" t="s">
        <v>97</v>
      </c>
      <c r="P227" t="s">
        <v>92</v>
      </c>
      <c r="Q227" s="2">
        <v>300534063819800</v>
      </c>
      <c r="R227" s="3" t="s">
        <v>98</v>
      </c>
      <c r="S227" s="6">
        <v>213149</v>
      </c>
      <c r="T227" s="1">
        <v>2021</v>
      </c>
      <c r="U227" t="s">
        <v>99</v>
      </c>
      <c r="V227">
        <v>2024</v>
      </c>
      <c r="W227" t="s">
        <v>403</v>
      </c>
      <c r="X227">
        <v>2023</v>
      </c>
      <c r="Y227"/>
      <c r="Z227"/>
      <c r="AJ227">
        <v>2024</v>
      </c>
      <c r="AK227">
        <v>2024</v>
      </c>
      <c r="AL227" t="s">
        <v>124</v>
      </c>
      <c r="AN227">
        <v>2024</v>
      </c>
      <c r="AO227">
        <v>2024</v>
      </c>
      <c r="AP227" t="s">
        <v>101</v>
      </c>
      <c r="AQ227">
        <v>2022</v>
      </c>
      <c r="AR227" t="s">
        <v>101</v>
      </c>
      <c r="AS227">
        <v>2022</v>
      </c>
      <c r="AT227">
        <v>2022</v>
      </c>
      <c r="AY227" t="s">
        <v>404</v>
      </c>
      <c r="AZ227">
        <v>2023</v>
      </c>
    </row>
    <row r="228" spans="1:58" hidden="1" x14ac:dyDescent="0.2">
      <c r="A228" t="s">
        <v>492</v>
      </c>
      <c r="B228" t="s">
        <v>89</v>
      </c>
      <c r="C228" s="5">
        <v>45097</v>
      </c>
      <c r="D228" t="s">
        <v>81</v>
      </c>
      <c r="E228" t="s">
        <v>82</v>
      </c>
      <c r="F228" t="s">
        <v>83</v>
      </c>
      <c r="G228" t="s">
        <v>84</v>
      </c>
      <c r="I228" t="s">
        <v>85</v>
      </c>
      <c r="J228" t="s">
        <v>88</v>
      </c>
      <c r="Q228" s="2" t="s">
        <v>84</v>
      </c>
    </row>
    <row r="229" spans="1:58" hidden="1" x14ac:dyDescent="0.2">
      <c r="A229" t="s">
        <v>492</v>
      </c>
      <c r="B229" t="s">
        <v>89</v>
      </c>
      <c r="C229" s="5">
        <v>35201</v>
      </c>
      <c r="D229" t="s">
        <v>81</v>
      </c>
      <c r="E229" t="s">
        <v>82</v>
      </c>
      <c r="F229" t="s">
        <v>83</v>
      </c>
      <c r="G229" t="s">
        <v>84</v>
      </c>
      <c r="I229" t="s">
        <v>85</v>
      </c>
      <c r="J229" t="s">
        <v>86</v>
      </c>
      <c r="Q229" s="2" t="s">
        <v>84</v>
      </c>
    </row>
    <row r="230" spans="1:58" x14ac:dyDescent="0.2">
      <c r="A230" t="s">
        <v>89</v>
      </c>
      <c r="B230" t="s">
        <v>89</v>
      </c>
      <c r="C230" s="5">
        <v>46192</v>
      </c>
      <c r="D230" t="s">
        <v>81</v>
      </c>
      <c r="E230" t="s">
        <v>90</v>
      </c>
      <c r="F230" t="s">
        <v>83</v>
      </c>
      <c r="G230" t="s">
        <v>91</v>
      </c>
      <c r="H230" t="s">
        <v>92</v>
      </c>
      <c r="I230" t="s">
        <v>85</v>
      </c>
      <c r="J230" t="s">
        <v>93</v>
      </c>
      <c r="K230" t="s">
        <v>94</v>
      </c>
      <c r="L230" t="s">
        <v>95</v>
      </c>
      <c r="M230">
        <v>41784</v>
      </c>
      <c r="N230" t="s">
        <v>96</v>
      </c>
      <c r="O230" t="s">
        <v>97</v>
      </c>
      <c r="P230" t="s">
        <v>92</v>
      </c>
      <c r="Q230" s="2">
        <v>300534063819800</v>
      </c>
      <c r="R230" s="3" t="s">
        <v>98</v>
      </c>
      <c r="S230" s="6">
        <v>213149</v>
      </c>
      <c r="T230" s="1">
        <v>2021</v>
      </c>
      <c r="U230" t="s">
        <v>99</v>
      </c>
      <c r="V230">
        <v>2024</v>
      </c>
      <c r="W230" t="s">
        <v>100</v>
      </c>
      <c r="X230">
        <v>2026</v>
      </c>
      <c r="AJ230">
        <v>2026</v>
      </c>
      <c r="AK230">
        <v>2026</v>
      </c>
      <c r="AL230">
        <v>2026</v>
      </c>
      <c r="AN230">
        <v>2026</v>
      </c>
      <c r="AO230">
        <v>2026</v>
      </c>
      <c r="AP230" t="s">
        <v>101</v>
      </c>
      <c r="AQ230">
        <v>2022</v>
      </c>
      <c r="AR230" t="s">
        <v>101</v>
      </c>
      <c r="AS230">
        <v>2022</v>
      </c>
      <c r="AT230">
        <v>2022</v>
      </c>
      <c r="AY230" t="s">
        <v>102</v>
      </c>
      <c r="AZ230">
        <v>2026</v>
      </c>
    </row>
    <row r="231" spans="1:58" x14ac:dyDescent="0.2">
      <c r="A231" t="s">
        <v>444</v>
      </c>
      <c r="B231" t="s">
        <v>444</v>
      </c>
      <c r="C231" s="5">
        <v>40042</v>
      </c>
      <c r="D231" t="s">
        <v>81</v>
      </c>
      <c r="E231" t="s">
        <v>90</v>
      </c>
      <c r="F231" t="s">
        <v>250</v>
      </c>
      <c r="G231" t="s">
        <v>206</v>
      </c>
      <c r="I231" t="s">
        <v>230</v>
      </c>
      <c r="J231" t="s">
        <v>86</v>
      </c>
    </row>
    <row r="232" spans="1:58" x14ac:dyDescent="0.2">
      <c r="A232" t="s">
        <v>444</v>
      </c>
      <c r="B232" t="s">
        <v>444</v>
      </c>
      <c r="C232" s="5">
        <v>44053</v>
      </c>
      <c r="D232" t="s">
        <v>81</v>
      </c>
      <c r="E232" t="s">
        <v>90</v>
      </c>
      <c r="F232" t="s">
        <v>250</v>
      </c>
      <c r="G232" t="s">
        <v>206</v>
      </c>
      <c r="I232" t="s">
        <v>230</v>
      </c>
      <c r="J232" t="s">
        <v>168</v>
      </c>
      <c r="K232" t="s">
        <v>134</v>
      </c>
      <c r="L232" t="s">
        <v>209</v>
      </c>
      <c r="M232">
        <v>29774</v>
      </c>
      <c r="N232" t="s">
        <v>445</v>
      </c>
      <c r="O232" t="s">
        <v>446</v>
      </c>
      <c r="Q232" s="2">
        <v>300234061478500</v>
      </c>
      <c r="R232" s="3" t="s">
        <v>269</v>
      </c>
      <c r="S232" s="6" t="s">
        <v>507</v>
      </c>
      <c r="T232" s="1" t="s">
        <v>124</v>
      </c>
      <c r="U232" t="s">
        <v>99</v>
      </c>
      <c r="V232" t="s">
        <v>447</v>
      </c>
      <c r="W232" t="s">
        <v>216</v>
      </c>
      <c r="X232" t="s">
        <v>447</v>
      </c>
      <c r="AA232">
        <v>2020</v>
      </c>
      <c r="AB232">
        <v>2020</v>
      </c>
      <c r="AE232" t="s">
        <v>110</v>
      </c>
      <c r="AF232">
        <v>2020</v>
      </c>
      <c r="AG232" t="s">
        <v>447</v>
      </c>
      <c r="AH232" t="s">
        <v>109</v>
      </c>
      <c r="AI232">
        <v>2020</v>
      </c>
      <c r="AT232" t="s">
        <v>447</v>
      </c>
      <c r="AY232" t="s">
        <v>508</v>
      </c>
      <c r="AZ232" t="s">
        <v>447</v>
      </c>
    </row>
    <row r="233" spans="1:58" x14ac:dyDescent="0.2">
      <c r="A233" t="s">
        <v>444</v>
      </c>
      <c r="B233" t="s">
        <v>444</v>
      </c>
      <c r="C233" s="5">
        <v>45145</v>
      </c>
      <c r="D233" t="s">
        <v>81</v>
      </c>
      <c r="E233" t="s">
        <v>90</v>
      </c>
      <c r="F233" t="s">
        <v>250</v>
      </c>
      <c r="G233" t="s">
        <v>206</v>
      </c>
      <c r="I233" t="s">
        <v>230</v>
      </c>
      <c r="J233" t="s">
        <v>168</v>
      </c>
      <c r="K233" t="s">
        <v>134</v>
      </c>
      <c r="L233" t="s">
        <v>209</v>
      </c>
      <c r="M233">
        <v>29774</v>
      </c>
      <c r="N233" t="s">
        <v>445</v>
      </c>
      <c r="O233" t="s">
        <v>670</v>
      </c>
      <c r="Q233" s="2">
        <v>300234061478500</v>
      </c>
      <c r="R233" s="3" t="s">
        <v>214</v>
      </c>
      <c r="S233" s="6">
        <v>233748</v>
      </c>
      <c r="T233" s="1">
        <v>2021</v>
      </c>
      <c r="U233" t="s">
        <v>99</v>
      </c>
      <c r="V233" t="s">
        <v>447</v>
      </c>
      <c r="W233" t="s">
        <v>216</v>
      </c>
      <c r="X233">
        <v>2023</v>
      </c>
      <c r="Y233" s="1" t="s">
        <v>217</v>
      </c>
      <c r="Z233" s="1">
        <v>2023</v>
      </c>
      <c r="AA233">
        <v>2023</v>
      </c>
      <c r="AB233">
        <v>2023</v>
      </c>
      <c r="AD233">
        <v>50189</v>
      </c>
      <c r="AE233" t="s">
        <v>110</v>
      </c>
      <c r="AF233">
        <v>2023</v>
      </c>
      <c r="AG233" t="s">
        <v>447</v>
      </c>
      <c r="AH233" t="s">
        <v>109</v>
      </c>
      <c r="AI233">
        <v>2023</v>
      </c>
      <c r="AT233" t="s">
        <v>447</v>
      </c>
      <c r="AY233" t="s">
        <v>246</v>
      </c>
      <c r="AZ233">
        <v>2023</v>
      </c>
    </row>
    <row r="234" spans="1:58" x14ac:dyDescent="0.2">
      <c r="A234" t="s">
        <v>444</v>
      </c>
      <c r="B234" t="s">
        <v>444</v>
      </c>
      <c r="C234" s="5">
        <v>46249</v>
      </c>
      <c r="D234" t="s">
        <v>81</v>
      </c>
      <c r="E234" t="s">
        <v>90</v>
      </c>
      <c r="F234" t="s">
        <v>250</v>
      </c>
      <c r="G234" t="s">
        <v>206</v>
      </c>
      <c r="I234" t="s">
        <v>230</v>
      </c>
      <c r="J234" t="s">
        <v>133</v>
      </c>
      <c r="K234" t="s">
        <v>134</v>
      </c>
      <c r="L234" t="s">
        <v>209</v>
      </c>
      <c r="M234">
        <v>29774</v>
      </c>
      <c r="N234" t="s">
        <v>445</v>
      </c>
      <c r="O234" t="s">
        <v>212</v>
      </c>
      <c r="Q234" s="2">
        <v>300234061478500</v>
      </c>
      <c r="R234" s="3" t="s">
        <v>214</v>
      </c>
      <c r="S234" s="6">
        <v>233748</v>
      </c>
      <c r="T234" s="1">
        <v>2021</v>
      </c>
      <c r="U234" t="s">
        <v>99</v>
      </c>
      <c r="V234" t="s">
        <v>447</v>
      </c>
      <c r="W234" t="s">
        <v>216</v>
      </c>
      <c r="X234">
        <v>2023</v>
      </c>
      <c r="Y234" s="1" t="s">
        <v>217</v>
      </c>
      <c r="Z234" s="1">
        <v>2023</v>
      </c>
      <c r="AA234">
        <v>2023</v>
      </c>
      <c r="AB234">
        <v>2023</v>
      </c>
      <c r="AD234">
        <v>50189</v>
      </c>
      <c r="AE234" t="s">
        <v>110</v>
      </c>
      <c r="AF234">
        <v>2023</v>
      </c>
      <c r="AG234" t="s">
        <v>447</v>
      </c>
      <c r="AH234" t="s">
        <v>109</v>
      </c>
      <c r="AI234">
        <v>2023</v>
      </c>
      <c r="AT234" t="s">
        <v>447</v>
      </c>
      <c r="AY234" t="s">
        <v>246</v>
      </c>
      <c r="AZ234">
        <v>2023</v>
      </c>
      <c r="BA234" t="s">
        <v>160</v>
      </c>
      <c r="BB234">
        <v>2026</v>
      </c>
    </row>
    <row r="235" spans="1:58" x14ac:dyDescent="0.2">
      <c r="A235" t="s">
        <v>667</v>
      </c>
      <c r="B235" t="s">
        <v>444</v>
      </c>
      <c r="C235" s="5">
        <v>46249</v>
      </c>
      <c r="D235" t="s">
        <v>81</v>
      </c>
      <c r="E235" t="s">
        <v>90</v>
      </c>
      <c r="F235" t="s">
        <v>250</v>
      </c>
      <c r="G235" t="s">
        <v>228</v>
      </c>
      <c r="I235" t="s">
        <v>230</v>
      </c>
      <c r="J235" t="s">
        <v>86</v>
      </c>
      <c r="K235" t="s">
        <v>668</v>
      </c>
      <c r="L235" t="s">
        <v>118</v>
      </c>
      <c r="M235">
        <v>80097</v>
      </c>
      <c r="N235" t="s">
        <v>669</v>
      </c>
      <c r="O235" t="s">
        <v>242</v>
      </c>
      <c r="P235" t="s">
        <v>243</v>
      </c>
      <c r="Q235" s="2">
        <v>300534068051860</v>
      </c>
      <c r="R235" s="3" t="s">
        <v>98</v>
      </c>
      <c r="S235" s="6" t="s">
        <v>599</v>
      </c>
      <c r="T235" s="1">
        <v>2026</v>
      </c>
      <c r="W235" t="s">
        <v>245</v>
      </c>
      <c r="X235">
        <v>2026</v>
      </c>
      <c r="Y235" s="1" t="s">
        <v>650</v>
      </c>
      <c r="Z235" s="1">
        <v>2026</v>
      </c>
      <c r="AB235">
        <v>2026</v>
      </c>
      <c r="AC235">
        <v>2026</v>
      </c>
      <c r="AD235" t="s">
        <v>629</v>
      </c>
      <c r="AE235" t="s">
        <v>110</v>
      </c>
      <c r="AF235">
        <v>2026</v>
      </c>
      <c r="AT235">
        <v>2026</v>
      </c>
      <c r="AY235" t="s">
        <v>246</v>
      </c>
      <c r="AZ235">
        <v>2026</v>
      </c>
    </row>
    <row r="236" spans="1:58" x14ac:dyDescent="0.2">
      <c r="A236" t="s">
        <v>448</v>
      </c>
      <c r="B236" t="s">
        <v>448</v>
      </c>
      <c r="C236" s="5">
        <v>40043</v>
      </c>
      <c r="D236" t="s">
        <v>81</v>
      </c>
      <c r="E236" t="s">
        <v>90</v>
      </c>
      <c r="F236" t="s">
        <v>250</v>
      </c>
      <c r="G236" t="s">
        <v>206</v>
      </c>
      <c r="I236" t="s">
        <v>230</v>
      </c>
      <c r="J236" t="s">
        <v>86</v>
      </c>
    </row>
    <row r="237" spans="1:58" x14ac:dyDescent="0.2">
      <c r="A237" t="s">
        <v>448</v>
      </c>
      <c r="B237" t="s">
        <v>448</v>
      </c>
      <c r="C237" s="5">
        <v>44020</v>
      </c>
      <c r="D237" t="s">
        <v>81</v>
      </c>
      <c r="E237" t="s">
        <v>90</v>
      </c>
      <c r="F237" t="s">
        <v>250</v>
      </c>
      <c r="G237" t="s">
        <v>206</v>
      </c>
      <c r="I237" t="s">
        <v>230</v>
      </c>
      <c r="J237" t="s">
        <v>168</v>
      </c>
      <c r="K237" t="s">
        <v>134</v>
      </c>
      <c r="L237" t="s">
        <v>209</v>
      </c>
      <c r="M237">
        <v>15209</v>
      </c>
      <c r="N237" t="s">
        <v>267</v>
      </c>
      <c r="O237" t="s">
        <v>446</v>
      </c>
      <c r="Q237" s="2">
        <v>300034012776170</v>
      </c>
      <c r="R237" s="3" t="s">
        <v>269</v>
      </c>
      <c r="S237" s="6" t="s">
        <v>305</v>
      </c>
      <c r="T237" s="1" t="s">
        <v>124</v>
      </c>
      <c r="U237" t="s">
        <v>99</v>
      </c>
      <c r="V237" t="s">
        <v>447</v>
      </c>
      <c r="W237" t="s">
        <v>216</v>
      </c>
      <c r="X237">
        <v>2020</v>
      </c>
      <c r="Y237" s="1" t="s">
        <v>217</v>
      </c>
      <c r="Z237" s="1">
        <v>2020</v>
      </c>
      <c r="AA237">
        <v>2020</v>
      </c>
      <c r="AB237">
        <v>2020</v>
      </c>
      <c r="AD237">
        <v>50182</v>
      </c>
      <c r="AE237" t="s">
        <v>110</v>
      </c>
      <c r="AF237">
        <v>2020</v>
      </c>
      <c r="AG237" t="s">
        <v>447</v>
      </c>
      <c r="AH237" t="s">
        <v>109</v>
      </c>
      <c r="AI237">
        <v>2020</v>
      </c>
      <c r="AT237" t="s">
        <v>447</v>
      </c>
      <c r="AY237" t="s">
        <v>375</v>
      </c>
      <c r="AZ237" t="s">
        <v>447</v>
      </c>
    </row>
    <row r="238" spans="1:58" x14ac:dyDescent="0.2">
      <c r="A238" t="s">
        <v>448</v>
      </c>
      <c r="B238" t="s">
        <v>448</v>
      </c>
      <c r="C238" s="5">
        <v>45145</v>
      </c>
      <c r="D238" t="s">
        <v>81</v>
      </c>
      <c r="E238" t="s">
        <v>90</v>
      </c>
      <c r="F238" t="s">
        <v>250</v>
      </c>
      <c r="G238" t="s">
        <v>206</v>
      </c>
      <c r="I238" t="s">
        <v>230</v>
      </c>
      <c r="J238" t="s">
        <v>168</v>
      </c>
      <c r="K238" t="s">
        <v>134</v>
      </c>
      <c r="L238" t="s">
        <v>209</v>
      </c>
      <c r="M238">
        <v>15209</v>
      </c>
      <c r="N238" t="s">
        <v>267</v>
      </c>
      <c r="O238" t="s">
        <v>670</v>
      </c>
      <c r="Q238" s="2">
        <v>300034012776170</v>
      </c>
      <c r="R238" s="3" t="s">
        <v>214</v>
      </c>
      <c r="S238" s="6">
        <v>233746</v>
      </c>
      <c r="T238" s="1">
        <v>2021</v>
      </c>
      <c r="U238" t="s">
        <v>99</v>
      </c>
      <c r="V238" t="s">
        <v>447</v>
      </c>
      <c r="W238" t="s">
        <v>216</v>
      </c>
      <c r="X238">
        <v>2023</v>
      </c>
      <c r="Y238" s="1" t="s">
        <v>217</v>
      </c>
      <c r="Z238" s="1">
        <v>2023</v>
      </c>
      <c r="AA238">
        <v>2023</v>
      </c>
      <c r="AB238">
        <v>2023</v>
      </c>
      <c r="AD238">
        <v>5116</v>
      </c>
      <c r="AE238" t="s">
        <v>110</v>
      </c>
      <c r="AF238" t="s">
        <v>298</v>
      </c>
      <c r="AG238" t="s">
        <v>447</v>
      </c>
      <c r="AH238" t="s">
        <v>109</v>
      </c>
      <c r="AI238">
        <v>2023</v>
      </c>
      <c r="AT238" t="s">
        <v>447</v>
      </c>
      <c r="AY238" t="s">
        <v>246</v>
      </c>
      <c r="AZ238">
        <v>2023</v>
      </c>
    </row>
    <row r="239" spans="1:58" hidden="1" x14ac:dyDescent="0.2">
      <c r="A239" t="s">
        <v>498</v>
      </c>
      <c r="B239" t="s">
        <v>498</v>
      </c>
      <c r="C239">
        <v>2019</v>
      </c>
      <c r="D239" t="s">
        <v>385</v>
      </c>
      <c r="E239" t="s">
        <v>90</v>
      </c>
      <c r="F239" t="s">
        <v>499</v>
      </c>
      <c r="G239" t="s">
        <v>206</v>
      </c>
      <c r="I239" t="s">
        <v>294</v>
      </c>
      <c r="J239" t="s">
        <v>86</v>
      </c>
    </row>
    <row r="240" spans="1:58" hidden="1" x14ac:dyDescent="0.2">
      <c r="A240" t="s">
        <v>500</v>
      </c>
      <c r="B240" t="s">
        <v>500</v>
      </c>
      <c r="C240" s="4">
        <v>45754</v>
      </c>
      <c r="D240" t="s">
        <v>385</v>
      </c>
      <c r="E240" t="s">
        <v>90</v>
      </c>
      <c r="F240" t="s">
        <v>501</v>
      </c>
      <c r="I240" t="s">
        <v>294</v>
      </c>
      <c r="J240" t="s">
        <v>133</v>
      </c>
      <c r="O240" t="s">
        <v>253</v>
      </c>
    </row>
    <row r="241" spans="1:58" hidden="1" x14ac:dyDescent="0.2">
      <c r="A241" t="s">
        <v>500</v>
      </c>
      <c r="B241" t="s">
        <v>500</v>
      </c>
      <c r="C241">
        <v>2022</v>
      </c>
      <c r="D241" t="s">
        <v>385</v>
      </c>
      <c r="E241" t="s">
        <v>90</v>
      </c>
      <c r="F241" t="s">
        <v>501</v>
      </c>
      <c r="I241" t="s">
        <v>294</v>
      </c>
      <c r="J241" t="s">
        <v>86</v>
      </c>
      <c r="P241" t="s">
        <v>233</v>
      </c>
      <c r="W241" t="s">
        <v>388</v>
      </c>
    </row>
    <row r="242" spans="1:58" hidden="1" x14ac:dyDescent="0.2">
      <c r="A242" t="s">
        <v>502</v>
      </c>
      <c r="B242" t="s">
        <v>502</v>
      </c>
      <c r="C242">
        <v>2022</v>
      </c>
      <c r="D242" t="s">
        <v>385</v>
      </c>
      <c r="E242" t="s">
        <v>90</v>
      </c>
      <c r="F242" t="s">
        <v>501</v>
      </c>
      <c r="G242" t="s">
        <v>228</v>
      </c>
      <c r="H242" t="s">
        <v>239</v>
      </c>
      <c r="I242" t="s">
        <v>230</v>
      </c>
      <c r="J242" t="s">
        <v>86</v>
      </c>
      <c r="O242" t="s">
        <v>495</v>
      </c>
      <c r="P242" t="s">
        <v>233</v>
      </c>
      <c r="W242" t="s">
        <v>388</v>
      </c>
    </row>
    <row r="243" spans="1:58" hidden="1" x14ac:dyDescent="0.2">
      <c r="A243" t="s">
        <v>502</v>
      </c>
      <c r="B243" t="s">
        <v>502</v>
      </c>
      <c r="C243">
        <v>2023</v>
      </c>
      <c r="D243" t="s">
        <v>385</v>
      </c>
      <c r="E243" t="s">
        <v>90</v>
      </c>
      <c r="F243" t="s">
        <v>501</v>
      </c>
      <c r="G243" t="s">
        <v>228</v>
      </c>
      <c r="H243" t="s">
        <v>239</v>
      </c>
      <c r="I243" t="s">
        <v>230</v>
      </c>
      <c r="J243" t="s">
        <v>168</v>
      </c>
      <c r="K243" t="s">
        <v>503</v>
      </c>
    </row>
    <row r="244" spans="1:58" x14ac:dyDescent="0.2">
      <c r="A244" t="s">
        <v>448</v>
      </c>
      <c r="B244" t="s">
        <v>448</v>
      </c>
      <c r="C244" s="5">
        <v>46249</v>
      </c>
      <c r="D244" t="s">
        <v>81</v>
      </c>
      <c r="E244" t="s">
        <v>90</v>
      </c>
      <c r="F244" t="s">
        <v>250</v>
      </c>
      <c r="G244" t="s">
        <v>206</v>
      </c>
      <c r="I244" t="s">
        <v>230</v>
      </c>
      <c r="J244" t="s">
        <v>168</v>
      </c>
      <c r="K244" t="s">
        <v>134</v>
      </c>
      <c r="L244" t="s">
        <v>209</v>
      </c>
      <c r="M244">
        <v>15209</v>
      </c>
      <c r="N244" t="s">
        <v>267</v>
      </c>
      <c r="O244" t="s">
        <v>670</v>
      </c>
      <c r="Q244" s="2">
        <v>300034012776170</v>
      </c>
      <c r="R244" s="3" t="s">
        <v>214</v>
      </c>
      <c r="S244" s="6">
        <v>233746</v>
      </c>
      <c r="T244" s="1">
        <v>2021</v>
      </c>
      <c r="U244" t="s">
        <v>99</v>
      </c>
      <c r="V244" t="s">
        <v>447</v>
      </c>
      <c r="W244" t="s">
        <v>216</v>
      </c>
      <c r="X244">
        <v>2023</v>
      </c>
      <c r="Y244" s="1" t="s">
        <v>217</v>
      </c>
      <c r="Z244" s="1">
        <v>2023</v>
      </c>
      <c r="AA244">
        <v>2023</v>
      </c>
      <c r="AB244">
        <v>2023</v>
      </c>
      <c r="AD244">
        <v>5116</v>
      </c>
      <c r="AE244" t="s">
        <v>110</v>
      </c>
      <c r="AF244" t="s">
        <v>298</v>
      </c>
      <c r="AG244" t="s">
        <v>447</v>
      </c>
      <c r="AH244" t="s">
        <v>109</v>
      </c>
      <c r="AI244">
        <v>2023</v>
      </c>
      <c r="AT244" t="s">
        <v>447</v>
      </c>
      <c r="AY244" t="s">
        <v>246</v>
      </c>
      <c r="AZ244">
        <v>2023</v>
      </c>
    </row>
    <row r="245" spans="1:58" x14ac:dyDescent="0.2">
      <c r="A245" t="s">
        <v>671</v>
      </c>
      <c r="B245" t="s">
        <v>448</v>
      </c>
      <c r="C245" s="5">
        <v>46249</v>
      </c>
      <c r="D245" t="s">
        <v>250</v>
      </c>
      <c r="E245" t="s">
        <v>250</v>
      </c>
      <c r="F245" t="s">
        <v>250</v>
      </c>
      <c r="G245" t="s">
        <v>228</v>
      </c>
      <c r="I245" t="s">
        <v>230</v>
      </c>
      <c r="J245" t="s">
        <v>86</v>
      </c>
      <c r="K245" t="s">
        <v>672</v>
      </c>
      <c r="L245" t="s">
        <v>95</v>
      </c>
      <c r="M245">
        <v>1013</v>
      </c>
      <c r="N245" t="s">
        <v>669</v>
      </c>
      <c r="O245" t="s">
        <v>242</v>
      </c>
      <c r="P245" t="s">
        <v>243</v>
      </c>
      <c r="Q245" s="2">
        <v>300534068052870</v>
      </c>
      <c r="R245" s="3" t="s">
        <v>98</v>
      </c>
      <c r="S245" s="6" t="s">
        <v>151</v>
      </c>
      <c r="T245" s="1">
        <v>2026</v>
      </c>
      <c r="W245" t="s">
        <v>245</v>
      </c>
      <c r="X245">
        <v>2026</v>
      </c>
      <c r="Y245" s="1" t="s">
        <v>650</v>
      </c>
      <c r="Z245" s="1">
        <v>2026</v>
      </c>
      <c r="AA245">
        <v>2026</v>
      </c>
      <c r="AB245">
        <v>2026</v>
      </c>
      <c r="AC245">
        <v>2026</v>
      </c>
      <c r="AD245" t="s">
        <v>635</v>
      </c>
      <c r="AE245" t="s">
        <v>110</v>
      </c>
      <c r="AF245">
        <v>2026</v>
      </c>
      <c r="AT245">
        <v>2026</v>
      </c>
      <c r="AY245" t="s">
        <v>246</v>
      </c>
      <c r="AZ245">
        <v>2026</v>
      </c>
      <c r="BF245" t="s">
        <v>673</v>
      </c>
    </row>
    <row r="246" spans="1:58" x14ac:dyDescent="0.2">
      <c r="A246" t="s">
        <v>219</v>
      </c>
      <c r="B246" t="s">
        <v>219</v>
      </c>
      <c r="C246" s="5">
        <v>45041</v>
      </c>
      <c r="D246" t="s">
        <v>81</v>
      </c>
      <c r="E246" t="s">
        <v>90</v>
      </c>
      <c r="F246" t="s">
        <v>220</v>
      </c>
      <c r="G246" t="s">
        <v>221</v>
      </c>
      <c r="I246" t="s">
        <v>85</v>
      </c>
      <c r="J246" t="s">
        <v>86</v>
      </c>
      <c r="K246" t="s">
        <v>134</v>
      </c>
      <c r="L246" t="s">
        <v>95</v>
      </c>
      <c r="M246">
        <v>31347</v>
      </c>
      <c r="N246" t="s">
        <v>431</v>
      </c>
      <c r="O246" t="s">
        <v>466</v>
      </c>
      <c r="P246" t="s">
        <v>192</v>
      </c>
      <c r="Q246" s="2">
        <v>300534062419950</v>
      </c>
      <c r="R246" s="3" t="s">
        <v>98</v>
      </c>
      <c r="S246" s="6">
        <v>213254</v>
      </c>
      <c r="T246" s="1">
        <v>2021</v>
      </c>
      <c r="W246" t="s">
        <v>362</v>
      </c>
      <c r="X246">
        <v>2023</v>
      </c>
      <c r="AC246">
        <v>2023</v>
      </c>
      <c r="AJ246">
        <v>2023</v>
      </c>
      <c r="AK246">
        <v>2023</v>
      </c>
      <c r="AP246" t="s">
        <v>110</v>
      </c>
      <c r="AQ246">
        <v>2023</v>
      </c>
      <c r="AR246" t="s">
        <v>110</v>
      </c>
      <c r="AS246">
        <v>2023</v>
      </c>
      <c r="AT246">
        <v>2023</v>
      </c>
      <c r="AY246" t="s">
        <v>111</v>
      </c>
      <c r="AZ246">
        <v>2023</v>
      </c>
    </row>
    <row r="247" spans="1:58" x14ac:dyDescent="0.2">
      <c r="A247" t="s">
        <v>219</v>
      </c>
      <c r="B247" t="s">
        <v>219</v>
      </c>
      <c r="C247" s="5">
        <v>45404</v>
      </c>
      <c r="D247" t="s">
        <v>81</v>
      </c>
      <c r="E247" t="s">
        <v>90</v>
      </c>
      <c r="F247" t="s">
        <v>220</v>
      </c>
      <c r="G247" t="s">
        <v>221</v>
      </c>
      <c r="I247" t="s">
        <v>85</v>
      </c>
      <c r="J247" t="s">
        <v>168</v>
      </c>
      <c r="K247" t="s">
        <v>134</v>
      </c>
      <c r="L247" t="s">
        <v>95</v>
      </c>
      <c r="M247">
        <v>31347</v>
      </c>
      <c r="N247" t="s">
        <v>431</v>
      </c>
      <c r="O247" t="s">
        <v>432</v>
      </c>
      <c r="P247" t="s">
        <v>192</v>
      </c>
      <c r="Q247" s="2">
        <v>300534062419950</v>
      </c>
      <c r="R247" s="3" t="s">
        <v>98</v>
      </c>
      <c r="S247" s="6" t="s">
        <v>224</v>
      </c>
      <c r="T247" s="1">
        <v>2021</v>
      </c>
      <c r="W247" t="s">
        <v>362</v>
      </c>
      <c r="X247">
        <v>2023</v>
      </c>
      <c r="AC247">
        <v>2024</v>
      </c>
      <c r="AJ247">
        <v>2024</v>
      </c>
      <c r="AK247">
        <v>2024</v>
      </c>
      <c r="AP247" t="s">
        <v>110</v>
      </c>
      <c r="AQ247">
        <v>2023</v>
      </c>
      <c r="AR247" t="s">
        <v>110</v>
      </c>
      <c r="AS247">
        <v>2023</v>
      </c>
      <c r="AT247">
        <v>2023</v>
      </c>
      <c r="AY247" t="s">
        <v>111</v>
      </c>
      <c r="AZ247">
        <v>2024</v>
      </c>
    </row>
    <row r="248" spans="1:58" x14ac:dyDescent="0.2">
      <c r="A248" t="s">
        <v>219</v>
      </c>
      <c r="B248" t="s">
        <v>219</v>
      </c>
      <c r="C248" s="5">
        <v>45769</v>
      </c>
      <c r="D248" t="s">
        <v>81</v>
      </c>
      <c r="E248" t="s">
        <v>90</v>
      </c>
      <c r="F248" t="s">
        <v>220</v>
      </c>
      <c r="G248" t="s">
        <v>221</v>
      </c>
      <c r="I248" t="s">
        <v>85</v>
      </c>
      <c r="J248" t="s">
        <v>168</v>
      </c>
      <c r="K248" t="s">
        <v>222</v>
      </c>
      <c r="L248" t="s">
        <v>95</v>
      </c>
      <c r="M248">
        <v>23654</v>
      </c>
      <c r="N248" t="s">
        <v>109</v>
      </c>
      <c r="O248" t="s">
        <v>223</v>
      </c>
      <c r="P248" t="s">
        <v>192</v>
      </c>
      <c r="Q248" s="2">
        <v>300534063817770</v>
      </c>
      <c r="R248" s="3" t="s">
        <v>98</v>
      </c>
      <c r="S248" s="6" t="s">
        <v>224</v>
      </c>
      <c r="T248" s="1">
        <v>2021</v>
      </c>
      <c r="W248" t="s">
        <v>225</v>
      </c>
      <c r="X248">
        <v>2025</v>
      </c>
      <c r="AC248">
        <v>2025</v>
      </c>
      <c r="AJ248">
        <v>2025</v>
      </c>
      <c r="AK248">
        <v>2025</v>
      </c>
      <c r="AP248" t="s">
        <v>110</v>
      </c>
      <c r="AQ248">
        <v>2023</v>
      </c>
      <c r="AR248" t="s">
        <v>110</v>
      </c>
      <c r="AS248">
        <v>2025</v>
      </c>
      <c r="AT248">
        <v>2023</v>
      </c>
      <c r="AY248" t="s">
        <v>111</v>
      </c>
      <c r="AZ248">
        <v>2024</v>
      </c>
    </row>
    <row r="249" spans="1:58" x14ac:dyDescent="0.2">
      <c r="A249" t="s">
        <v>219</v>
      </c>
      <c r="B249" t="s">
        <v>219</v>
      </c>
      <c r="C249" s="5">
        <v>46135</v>
      </c>
      <c r="D249" t="s">
        <v>81</v>
      </c>
      <c r="E249" t="s">
        <v>90</v>
      </c>
      <c r="F249" t="s">
        <v>220</v>
      </c>
      <c r="G249" t="s">
        <v>221</v>
      </c>
      <c r="I249" t="s">
        <v>85</v>
      </c>
      <c r="J249" t="s">
        <v>168</v>
      </c>
      <c r="K249" t="s">
        <v>222</v>
      </c>
      <c r="L249" t="s">
        <v>95</v>
      </c>
      <c r="M249">
        <v>23654</v>
      </c>
      <c r="N249" t="s">
        <v>109</v>
      </c>
      <c r="O249" t="s">
        <v>223</v>
      </c>
      <c r="P249" t="s">
        <v>192</v>
      </c>
      <c r="Q249" s="2">
        <v>300534063817770</v>
      </c>
      <c r="R249" s="3" t="s">
        <v>98</v>
      </c>
      <c r="S249" s="6" t="s">
        <v>224</v>
      </c>
      <c r="T249" s="1">
        <v>2021</v>
      </c>
      <c r="W249" t="s">
        <v>225</v>
      </c>
      <c r="X249">
        <v>2025</v>
      </c>
      <c r="AC249">
        <v>2026</v>
      </c>
      <c r="AJ249">
        <v>2025</v>
      </c>
      <c r="AK249">
        <v>2026</v>
      </c>
      <c r="AP249" t="s">
        <v>110</v>
      </c>
      <c r="AQ249">
        <v>2023</v>
      </c>
      <c r="AR249" t="s">
        <v>110</v>
      </c>
      <c r="AS249">
        <v>2025</v>
      </c>
      <c r="AT249">
        <v>2023</v>
      </c>
      <c r="AY249" t="s">
        <v>111</v>
      </c>
      <c r="AZ249">
        <v>2024</v>
      </c>
    </row>
    <row r="250" spans="1:58" x14ac:dyDescent="0.2">
      <c r="A250" t="s">
        <v>237</v>
      </c>
      <c r="B250" t="s">
        <v>238</v>
      </c>
      <c r="C250" s="5">
        <v>44672</v>
      </c>
      <c r="D250" t="s">
        <v>81</v>
      </c>
      <c r="E250" t="s">
        <v>90</v>
      </c>
      <c r="F250" t="s">
        <v>220</v>
      </c>
      <c r="G250" t="s">
        <v>228</v>
      </c>
      <c r="H250" t="s">
        <v>229</v>
      </c>
      <c r="I250" t="s">
        <v>230</v>
      </c>
      <c r="J250" t="s">
        <v>86</v>
      </c>
      <c r="K250" t="s">
        <v>369</v>
      </c>
      <c r="L250" t="s">
        <v>95</v>
      </c>
      <c r="M250">
        <v>31342</v>
      </c>
      <c r="N250" t="s">
        <v>431</v>
      </c>
      <c r="O250" t="s">
        <v>467</v>
      </c>
      <c r="P250" t="s">
        <v>109</v>
      </c>
      <c r="Q250" s="2">
        <v>300534060520430</v>
      </c>
      <c r="R250" s="3" t="s">
        <v>98</v>
      </c>
      <c r="S250" s="6">
        <v>131451</v>
      </c>
      <c r="T250" s="1">
        <v>2021</v>
      </c>
      <c r="W250" t="s">
        <v>216</v>
      </c>
      <c r="X250">
        <v>2022</v>
      </c>
      <c r="Y250" s="1" t="s">
        <v>217</v>
      </c>
      <c r="Z250" s="1">
        <v>2022</v>
      </c>
      <c r="AA250">
        <v>2022</v>
      </c>
      <c r="AB250">
        <v>2022</v>
      </c>
      <c r="AC250">
        <v>2022</v>
      </c>
      <c r="AD250">
        <v>50186</v>
      </c>
      <c r="AE250" t="s">
        <v>110</v>
      </c>
      <c r="AF250">
        <v>2022</v>
      </c>
      <c r="AT250">
        <v>2022</v>
      </c>
      <c r="AY250" t="s">
        <v>246</v>
      </c>
      <c r="AZ250">
        <v>2022</v>
      </c>
    </row>
    <row r="251" spans="1:58" x14ac:dyDescent="0.2">
      <c r="A251" t="s">
        <v>237</v>
      </c>
      <c r="B251" t="s">
        <v>238</v>
      </c>
      <c r="C251" s="5">
        <v>45036</v>
      </c>
      <c r="D251" t="s">
        <v>81</v>
      </c>
      <c r="E251" t="s">
        <v>90</v>
      </c>
      <c r="F251" t="s">
        <v>220</v>
      </c>
      <c r="G251" t="s">
        <v>228</v>
      </c>
      <c r="H251" t="s">
        <v>229</v>
      </c>
      <c r="I251" t="s">
        <v>230</v>
      </c>
      <c r="J251" t="s">
        <v>168</v>
      </c>
      <c r="K251" t="s">
        <v>369</v>
      </c>
      <c r="L251" t="s">
        <v>95</v>
      </c>
      <c r="M251">
        <v>31342</v>
      </c>
      <c r="N251" t="s">
        <v>431</v>
      </c>
      <c r="O251" t="s">
        <v>467</v>
      </c>
      <c r="P251" t="s">
        <v>109</v>
      </c>
      <c r="Q251" s="2">
        <v>300534060520430</v>
      </c>
      <c r="R251" s="3" t="s">
        <v>98</v>
      </c>
      <c r="S251" s="6">
        <v>131451</v>
      </c>
      <c r="T251" s="1">
        <v>2021</v>
      </c>
      <c r="W251" t="s">
        <v>216</v>
      </c>
      <c r="X251">
        <v>2022</v>
      </c>
      <c r="Y251" s="1" t="s">
        <v>217</v>
      </c>
      <c r="Z251" s="1">
        <v>2022</v>
      </c>
      <c r="AA251">
        <v>2023</v>
      </c>
      <c r="AB251">
        <v>2023</v>
      </c>
      <c r="AC251">
        <v>2023</v>
      </c>
      <c r="AD251">
        <v>50186</v>
      </c>
      <c r="AE251" t="s">
        <v>110</v>
      </c>
      <c r="AF251">
        <v>2022</v>
      </c>
      <c r="AT251">
        <v>2022</v>
      </c>
      <c r="AY251" t="s">
        <v>246</v>
      </c>
      <c r="AZ251">
        <v>2022</v>
      </c>
    </row>
    <row r="252" spans="1:58" x14ac:dyDescent="0.2">
      <c r="A252" t="s">
        <v>237</v>
      </c>
      <c r="B252" t="s">
        <v>238</v>
      </c>
      <c r="C252" s="5">
        <v>45402</v>
      </c>
      <c r="D252" t="s">
        <v>81</v>
      </c>
      <c r="E252" t="s">
        <v>90</v>
      </c>
      <c r="F252" t="s">
        <v>220</v>
      </c>
      <c r="G252" t="s">
        <v>228</v>
      </c>
      <c r="H252" t="s">
        <v>239</v>
      </c>
      <c r="I252" t="s">
        <v>230</v>
      </c>
      <c r="J252" t="s">
        <v>168</v>
      </c>
      <c r="K252" t="s">
        <v>369</v>
      </c>
      <c r="L252" t="s">
        <v>95</v>
      </c>
      <c r="M252">
        <v>31342</v>
      </c>
      <c r="N252" t="s">
        <v>336</v>
      </c>
      <c r="O252" t="s">
        <v>433</v>
      </c>
      <c r="P252" t="s">
        <v>370</v>
      </c>
      <c r="Q252" s="2">
        <v>300534060520430</v>
      </c>
      <c r="R252" s="3" t="s">
        <v>98</v>
      </c>
      <c r="S252" s="6">
        <v>131451</v>
      </c>
      <c r="T252" s="1">
        <v>2021</v>
      </c>
      <c r="W252" t="s">
        <v>245</v>
      </c>
      <c r="X252">
        <v>2024</v>
      </c>
      <c r="Y252" s="1" t="s">
        <v>217</v>
      </c>
      <c r="Z252" s="1">
        <v>2022</v>
      </c>
      <c r="AA252">
        <v>2024</v>
      </c>
      <c r="AB252">
        <v>2024</v>
      </c>
      <c r="AC252">
        <v>2024</v>
      </c>
      <c r="AD252">
        <v>50186</v>
      </c>
      <c r="AE252" t="s">
        <v>110</v>
      </c>
      <c r="AF252">
        <v>2022</v>
      </c>
      <c r="AT252">
        <v>2022</v>
      </c>
      <c r="AY252" t="s">
        <v>246</v>
      </c>
      <c r="AZ252">
        <v>2022</v>
      </c>
    </row>
    <row r="253" spans="1:58" x14ac:dyDescent="0.2">
      <c r="A253" t="s">
        <v>237</v>
      </c>
      <c r="B253" t="s">
        <v>238</v>
      </c>
      <c r="C253" s="5">
        <v>45776</v>
      </c>
      <c r="D253" t="s">
        <v>81</v>
      </c>
      <c r="E253" t="s">
        <v>90</v>
      </c>
      <c r="F253" t="s">
        <v>220</v>
      </c>
      <c r="G253" t="s">
        <v>228</v>
      </c>
      <c r="H253" t="s">
        <v>239</v>
      </c>
      <c r="I253" t="s">
        <v>230</v>
      </c>
      <c r="J253" t="s">
        <v>168</v>
      </c>
      <c r="K253" t="s">
        <v>369</v>
      </c>
      <c r="L253" t="s">
        <v>95</v>
      </c>
      <c r="M253">
        <v>31342</v>
      </c>
      <c r="N253" t="s">
        <v>336</v>
      </c>
      <c r="O253" t="s">
        <v>242</v>
      </c>
      <c r="P253" t="s">
        <v>370</v>
      </c>
      <c r="Q253" s="2">
        <v>300534060520430</v>
      </c>
      <c r="R253" s="3" t="s">
        <v>98</v>
      </c>
      <c r="S253" s="6">
        <v>131451</v>
      </c>
      <c r="T253" s="1">
        <v>2021</v>
      </c>
      <c r="W253" t="s">
        <v>245</v>
      </c>
      <c r="X253">
        <v>2024</v>
      </c>
      <c r="Y253" s="1" t="s">
        <v>217</v>
      </c>
      <c r="Z253" s="1">
        <v>2022</v>
      </c>
      <c r="AA253">
        <v>2025</v>
      </c>
      <c r="AB253">
        <v>2025</v>
      </c>
      <c r="AC253">
        <v>2024</v>
      </c>
      <c r="AD253" s="1">
        <v>50186</v>
      </c>
      <c r="AE253" t="s">
        <v>110</v>
      </c>
      <c r="AF253">
        <v>2022</v>
      </c>
      <c r="AT253">
        <v>2022</v>
      </c>
      <c r="AY253" t="s">
        <v>246</v>
      </c>
      <c r="AZ253">
        <v>2022</v>
      </c>
    </row>
    <row r="254" spans="1:58" x14ac:dyDescent="0.2">
      <c r="A254" t="s">
        <v>237</v>
      </c>
      <c r="B254" t="s">
        <v>238</v>
      </c>
      <c r="C254" s="5">
        <v>46127</v>
      </c>
      <c r="D254" t="s">
        <v>81</v>
      </c>
      <c r="E254" t="s">
        <v>90</v>
      </c>
      <c r="F254" t="s">
        <v>220</v>
      </c>
      <c r="G254" t="s">
        <v>228</v>
      </c>
      <c r="H254" t="s">
        <v>239</v>
      </c>
      <c r="I254" t="s">
        <v>230</v>
      </c>
      <c r="J254" t="s">
        <v>168</v>
      </c>
      <c r="K254" t="s">
        <v>240</v>
      </c>
      <c r="L254" t="s">
        <v>118</v>
      </c>
      <c r="M254">
        <v>71371</v>
      </c>
      <c r="N254" t="s">
        <v>241</v>
      </c>
      <c r="O254" t="s">
        <v>242</v>
      </c>
      <c r="P254" t="s">
        <v>243</v>
      </c>
      <c r="Q254" s="2">
        <v>300234061299270</v>
      </c>
      <c r="R254" s="3" t="s">
        <v>98</v>
      </c>
      <c r="S254" s="6" t="s">
        <v>244</v>
      </c>
      <c r="T254" s="1">
        <v>2023</v>
      </c>
      <c r="W254" t="s">
        <v>245</v>
      </c>
      <c r="X254">
        <v>2026</v>
      </c>
      <c r="Y254" s="1" t="s">
        <v>217</v>
      </c>
      <c r="Z254" s="1">
        <v>2022</v>
      </c>
      <c r="AA254">
        <v>2026</v>
      </c>
      <c r="AB254">
        <v>2026</v>
      </c>
      <c r="AC254">
        <v>2026</v>
      </c>
      <c r="AD254" s="1">
        <v>50186</v>
      </c>
      <c r="AE254" t="s">
        <v>110</v>
      </c>
      <c r="AF254">
        <v>2022</v>
      </c>
      <c r="AT254">
        <v>2022</v>
      </c>
      <c r="AY254" t="s">
        <v>246</v>
      </c>
      <c r="AZ254">
        <v>2022</v>
      </c>
      <c r="BF254" t="s">
        <v>247</v>
      </c>
    </row>
    <row r="255" spans="1:58" x14ac:dyDescent="0.2">
      <c r="A255" t="s">
        <v>226</v>
      </c>
      <c r="B255" t="s">
        <v>227</v>
      </c>
      <c r="C255" s="5">
        <v>44672</v>
      </c>
      <c r="D255" t="s">
        <v>81</v>
      </c>
      <c r="E255" t="s">
        <v>90</v>
      </c>
      <c r="F255" t="s">
        <v>220</v>
      </c>
      <c r="G255" t="s">
        <v>228</v>
      </c>
      <c r="H255" t="s">
        <v>229</v>
      </c>
      <c r="I255" t="s">
        <v>230</v>
      </c>
      <c r="J255" t="s">
        <v>86</v>
      </c>
      <c r="K255" t="s">
        <v>222</v>
      </c>
      <c r="L255" t="s">
        <v>95</v>
      </c>
      <c r="M255">
        <v>31344</v>
      </c>
      <c r="N255" t="s">
        <v>231</v>
      </c>
      <c r="O255" t="s">
        <v>495</v>
      </c>
      <c r="P255" t="s">
        <v>233</v>
      </c>
      <c r="Q255" s="2">
        <v>300234068329190</v>
      </c>
      <c r="R255" s="3" t="s">
        <v>98</v>
      </c>
      <c r="S255" s="6">
        <v>110560</v>
      </c>
      <c r="T255" s="1">
        <v>2021</v>
      </c>
      <c r="W255" t="s">
        <v>216</v>
      </c>
      <c r="X255">
        <v>2022</v>
      </c>
      <c r="Y255" s="1" t="s">
        <v>217</v>
      </c>
      <c r="Z255" s="1">
        <v>2022</v>
      </c>
      <c r="AA255">
        <v>2022</v>
      </c>
      <c r="AB255">
        <v>2022</v>
      </c>
      <c r="AC255">
        <v>2022</v>
      </c>
      <c r="AD255">
        <v>50167</v>
      </c>
      <c r="AE255" t="s">
        <v>110</v>
      </c>
      <c r="AF255">
        <v>2022</v>
      </c>
      <c r="AT255">
        <v>2022</v>
      </c>
      <c r="AY255" t="s">
        <v>235</v>
      </c>
      <c r="AZ255">
        <v>2022</v>
      </c>
    </row>
    <row r="256" spans="1:58" x14ac:dyDescent="0.2">
      <c r="A256" t="s">
        <v>226</v>
      </c>
      <c r="B256" t="s">
        <v>227</v>
      </c>
      <c r="C256" s="5">
        <v>45036</v>
      </c>
      <c r="D256" t="s">
        <v>81</v>
      </c>
      <c r="E256" t="s">
        <v>90</v>
      </c>
      <c r="F256" t="s">
        <v>220</v>
      </c>
      <c r="G256" t="s">
        <v>228</v>
      </c>
      <c r="H256" t="s">
        <v>229</v>
      </c>
      <c r="I256" t="s">
        <v>230</v>
      </c>
      <c r="J256" t="s">
        <v>168</v>
      </c>
      <c r="K256" t="s">
        <v>222</v>
      </c>
      <c r="L256" t="s">
        <v>95</v>
      </c>
      <c r="M256">
        <v>31344</v>
      </c>
      <c r="N256" t="s">
        <v>231</v>
      </c>
      <c r="O256" t="s">
        <v>234</v>
      </c>
      <c r="P256" t="s">
        <v>233</v>
      </c>
      <c r="Q256" s="2">
        <v>300234068329190</v>
      </c>
      <c r="R256" s="3" t="s">
        <v>98</v>
      </c>
      <c r="S256" s="6">
        <v>110560</v>
      </c>
      <c r="T256" s="1">
        <v>2021</v>
      </c>
      <c r="W256" t="s">
        <v>216</v>
      </c>
      <c r="X256">
        <v>2022</v>
      </c>
      <c r="Y256" s="1" t="s">
        <v>217</v>
      </c>
      <c r="Z256" s="1">
        <v>2022</v>
      </c>
      <c r="AA256">
        <v>2022</v>
      </c>
      <c r="AB256">
        <v>2022</v>
      </c>
      <c r="AC256">
        <v>2023</v>
      </c>
      <c r="AD256">
        <v>50167</v>
      </c>
      <c r="AE256" t="s">
        <v>110</v>
      </c>
      <c r="AF256">
        <v>2022</v>
      </c>
      <c r="AT256">
        <v>2022</v>
      </c>
      <c r="AY256" t="s">
        <v>235</v>
      </c>
      <c r="AZ256">
        <v>2022</v>
      </c>
    </row>
    <row r="257" spans="1:58" x14ac:dyDescent="0.2">
      <c r="A257" t="s">
        <v>226</v>
      </c>
      <c r="B257" t="s">
        <v>227</v>
      </c>
      <c r="C257" s="5">
        <v>45402</v>
      </c>
      <c r="D257" t="s">
        <v>81</v>
      </c>
      <c r="E257" t="s">
        <v>90</v>
      </c>
      <c r="F257" t="s">
        <v>220</v>
      </c>
      <c r="G257" t="s">
        <v>228</v>
      </c>
      <c r="H257" t="s">
        <v>229</v>
      </c>
      <c r="I257" t="s">
        <v>230</v>
      </c>
      <c r="J257" t="s">
        <v>168</v>
      </c>
      <c r="K257" t="s">
        <v>222</v>
      </c>
      <c r="L257" t="s">
        <v>95</v>
      </c>
      <c r="M257">
        <v>31344</v>
      </c>
      <c r="N257" t="s">
        <v>231</v>
      </c>
      <c r="O257" t="s">
        <v>232</v>
      </c>
      <c r="P257" t="s">
        <v>233</v>
      </c>
      <c r="Q257" s="2">
        <v>300234068329190</v>
      </c>
      <c r="R257" s="3" t="s">
        <v>98</v>
      </c>
      <c r="S257" s="6">
        <v>110560</v>
      </c>
      <c r="T257" s="1">
        <v>2021</v>
      </c>
      <c r="W257" t="s">
        <v>216</v>
      </c>
      <c r="X257">
        <v>2022</v>
      </c>
      <c r="Y257" s="1" t="s">
        <v>217</v>
      </c>
      <c r="Z257" s="1">
        <v>2022</v>
      </c>
      <c r="AA257">
        <v>2022</v>
      </c>
      <c r="AB257">
        <v>2022</v>
      </c>
      <c r="AC257">
        <v>2023</v>
      </c>
      <c r="AD257">
        <v>50167</v>
      </c>
      <c r="AE257" t="s">
        <v>110</v>
      </c>
      <c r="AF257">
        <v>2022</v>
      </c>
      <c r="AT257">
        <v>2022</v>
      </c>
      <c r="AY257" t="s">
        <v>235</v>
      </c>
      <c r="AZ257">
        <v>2022</v>
      </c>
    </row>
    <row r="258" spans="1:58" x14ac:dyDescent="0.2">
      <c r="A258" t="s">
        <v>226</v>
      </c>
      <c r="B258" t="s">
        <v>227</v>
      </c>
      <c r="C258" s="5">
        <v>45765</v>
      </c>
      <c r="D258" t="s">
        <v>81</v>
      </c>
      <c r="E258" t="s">
        <v>90</v>
      </c>
      <c r="F258" t="s">
        <v>220</v>
      </c>
      <c r="G258" t="s">
        <v>228</v>
      </c>
      <c r="H258" t="s">
        <v>229</v>
      </c>
      <c r="I258" t="s">
        <v>230</v>
      </c>
      <c r="J258" t="s">
        <v>168</v>
      </c>
      <c r="K258" t="s">
        <v>222</v>
      </c>
      <c r="L258" t="s">
        <v>95</v>
      </c>
      <c r="M258">
        <v>31344</v>
      </c>
      <c r="N258" t="s">
        <v>231</v>
      </c>
      <c r="O258" t="s">
        <v>371</v>
      </c>
      <c r="P258" t="s">
        <v>233</v>
      </c>
      <c r="Q258" s="2">
        <v>300234068329190</v>
      </c>
      <c r="R258" s="3" t="s">
        <v>234</v>
      </c>
      <c r="T258" s="6"/>
      <c r="Y258" s="1" t="s">
        <v>217</v>
      </c>
      <c r="Z258" s="6" t="s">
        <v>372</v>
      </c>
      <c r="AA258">
        <v>2025</v>
      </c>
      <c r="AB258">
        <v>2025</v>
      </c>
      <c r="AC258">
        <v>2023</v>
      </c>
      <c r="AD258">
        <v>50167</v>
      </c>
      <c r="AE258" t="s">
        <v>110</v>
      </c>
      <c r="AF258">
        <v>2022</v>
      </c>
      <c r="AT258">
        <v>2022</v>
      </c>
      <c r="AY258" t="s">
        <v>235</v>
      </c>
      <c r="AZ258">
        <v>2025</v>
      </c>
    </row>
    <row r="259" spans="1:58" x14ac:dyDescent="0.2">
      <c r="A259" t="s">
        <v>226</v>
      </c>
      <c r="B259" t="s">
        <v>227</v>
      </c>
      <c r="C259" s="5">
        <v>46135</v>
      </c>
      <c r="D259" t="s">
        <v>81</v>
      </c>
      <c r="E259" t="s">
        <v>90</v>
      </c>
      <c r="F259" t="s">
        <v>220</v>
      </c>
      <c r="G259" t="s">
        <v>228</v>
      </c>
      <c r="H259" t="s">
        <v>229</v>
      </c>
      <c r="I259" t="s">
        <v>230</v>
      </c>
      <c r="J259" t="s">
        <v>168</v>
      </c>
      <c r="K259" t="s">
        <v>222</v>
      </c>
      <c r="L259" t="s">
        <v>95</v>
      </c>
      <c r="M259">
        <v>31344</v>
      </c>
      <c r="N259" t="s">
        <v>231</v>
      </c>
      <c r="O259" t="s">
        <v>232</v>
      </c>
      <c r="P259" t="s">
        <v>233</v>
      </c>
      <c r="Q259" s="2">
        <v>300234068329190</v>
      </c>
      <c r="R259" s="3" t="s">
        <v>234</v>
      </c>
      <c r="T259" s="6"/>
      <c r="Y259" s="1" t="s">
        <v>217</v>
      </c>
      <c r="Z259" s="1">
        <v>2026</v>
      </c>
      <c r="AA259">
        <v>2026</v>
      </c>
      <c r="AB259">
        <v>2026</v>
      </c>
      <c r="AC259">
        <v>2026</v>
      </c>
      <c r="AD259">
        <v>50305</v>
      </c>
      <c r="AE259" t="s">
        <v>110</v>
      </c>
      <c r="AF259">
        <v>2022</v>
      </c>
      <c r="AT259">
        <v>2022</v>
      </c>
      <c r="AY259" t="s">
        <v>235</v>
      </c>
      <c r="AZ259">
        <v>2026</v>
      </c>
      <c r="BF259" t="s">
        <v>236</v>
      </c>
    </row>
    <row r="269" spans="1:58" x14ac:dyDescent="0.2">
      <c r="E269" t="s">
        <v>515</v>
      </c>
    </row>
  </sheetData>
  <autoFilter ref="A2:BF259" xr:uid="{89805EA3-EDF3-45F5-B265-B376994F56D9}">
    <filterColumn colId="3">
      <filters>
        <filter val="Complete"/>
      </filters>
    </filterColumn>
    <filterColumn colId="4">
      <filters blank="1">
        <filter val="Operational"/>
      </filters>
    </filterColumn>
    <sortState xmlns:xlrd2="http://schemas.microsoft.com/office/spreadsheetml/2017/richdata2" ref="A5:BF259">
      <sortCondition ref="B2:B259"/>
    </sortState>
  </autoFilter>
  <sortState xmlns:xlrd2="http://schemas.microsoft.com/office/spreadsheetml/2017/richdata2" ref="A3:BF212">
    <sortCondition ref="A3:A212"/>
  </sortState>
  <mergeCells count="8">
    <mergeCell ref="BE1:BF1"/>
    <mergeCell ref="A1:J1"/>
    <mergeCell ref="K1:Q1"/>
    <mergeCell ref="R1:X1"/>
    <mergeCell ref="Y1:AI1"/>
    <mergeCell ref="AJ1:AS1"/>
    <mergeCell ref="AT1:AZ1"/>
    <mergeCell ref="BA1:BD1"/>
  </mergeCells>
  <phoneticPr fontId="1" type="noConversion"/>
  <conditionalFormatting sqref="A3:BF338">
    <cfRule type="expression" dxfId="0" priority="1">
      <formula>MOD(ROW(),2)=0</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4BA25-6A11-4D15-8496-F03949EFBB16}">
  <dimension ref="A1:AB103"/>
  <sheetViews>
    <sheetView zoomScaleNormal="100" workbookViewId="0">
      <pane ySplit="1" topLeftCell="A49" activePane="bottomLeft" state="frozen"/>
      <selection pane="bottomLeft" activeCell="D97" sqref="D97"/>
    </sheetView>
  </sheetViews>
  <sheetFormatPr baseColWidth="10" defaultColWidth="8.6640625" defaultRowHeight="15" x14ac:dyDescent="0.2"/>
  <cols>
    <col min="1" max="1" width="12.33203125" style="14" customWidth="1"/>
    <col min="2" max="2" width="19.1640625" style="5" bestFit="1" customWidth="1"/>
    <col min="3" max="3" width="10.5" bestFit="1" customWidth="1"/>
    <col min="4" max="4" width="25" bestFit="1" customWidth="1"/>
    <col min="5" max="5" width="22.5" bestFit="1" customWidth="1"/>
    <col min="6" max="6" width="14.5" bestFit="1" customWidth="1"/>
    <col min="7" max="7" width="28.6640625" style="9" bestFit="1" customWidth="1"/>
    <col min="8" max="8" width="31" style="9" bestFit="1" customWidth="1"/>
    <col min="9" max="9" width="28.5" style="9" bestFit="1" customWidth="1"/>
    <col min="10" max="10" width="30.6640625" style="9" bestFit="1" customWidth="1"/>
    <col min="11" max="11" width="33.5" style="1" bestFit="1" customWidth="1"/>
    <col min="12" max="12" width="2.6640625" style="1" customWidth="1"/>
    <col min="13" max="13" width="38.6640625" bestFit="1" customWidth="1"/>
    <col min="25" max="25" width="20.1640625" customWidth="1"/>
    <col min="26" max="26" width="29.6640625" customWidth="1"/>
  </cols>
  <sheetData>
    <row r="1" spans="1:27" x14ac:dyDescent="0.2">
      <c r="A1" s="27" t="s">
        <v>516</v>
      </c>
      <c r="B1" s="16" t="s">
        <v>517</v>
      </c>
      <c r="C1" s="10" t="s">
        <v>518</v>
      </c>
      <c r="D1" s="10" t="s">
        <v>519</v>
      </c>
      <c r="E1" s="10" t="s">
        <v>520</v>
      </c>
      <c r="F1" s="10" t="s">
        <v>521</v>
      </c>
      <c r="G1" s="11" t="s">
        <v>522</v>
      </c>
      <c r="H1" s="11" t="s">
        <v>523</v>
      </c>
      <c r="I1" s="11" t="s">
        <v>524</v>
      </c>
      <c r="J1" s="11" t="s">
        <v>525</v>
      </c>
      <c r="K1" s="29" t="s">
        <v>526</v>
      </c>
      <c r="L1" s="29"/>
      <c r="M1" s="11" t="s">
        <v>78</v>
      </c>
    </row>
    <row r="2" spans="1:27" x14ac:dyDescent="0.2">
      <c r="A2" s="14" t="s">
        <v>527</v>
      </c>
      <c r="B2" s="5">
        <v>46128</v>
      </c>
      <c r="C2" t="s">
        <v>528</v>
      </c>
      <c r="D2" t="s">
        <v>529</v>
      </c>
      <c r="E2" s="4" t="s">
        <v>530</v>
      </c>
      <c r="F2">
        <v>2025</v>
      </c>
      <c r="G2" s="9">
        <v>21.12</v>
      </c>
      <c r="H2" s="9">
        <v>16.079999999999998</v>
      </c>
      <c r="I2" s="9">
        <v>12.21</v>
      </c>
      <c r="J2" s="9">
        <v>10.92</v>
      </c>
      <c r="K2" s="1">
        <f>IF(D2="A-Station",F2+3,"")</f>
        <v>2028</v>
      </c>
      <c r="L2" s="30" t="str">
        <f ca="1">IF(K2&lt;=YEAR(TODAY()),"!","")</f>
        <v/>
      </c>
    </row>
    <row r="3" spans="1:27" x14ac:dyDescent="0.2">
      <c r="A3" s="14" t="s">
        <v>531</v>
      </c>
      <c r="B3" s="5">
        <v>46128</v>
      </c>
      <c r="C3" t="s">
        <v>269</v>
      </c>
      <c r="D3" t="s">
        <v>529</v>
      </c>
      <c r="E3" t="s">
        <v>532</v>
      </c>
      <c r="F3">
        <v>2021</v>
      </c>
      <c r="G3" s="9">
        <v>9</v>
      </c>
      <c r="H3" s="9">
        <v>9</v>
      </c>
      <c r="I3" s="9">
        <v>9</v>
      </c>
      <c r="J3" s="9">
        <v>9</v>
      </c>
      <c r="K3" s="1">
        <f>IF(D3="A-Station",F3+3,"")</f>
        <v>2024</v>
      </c>
      <c r="L3" s="30" t="str">
        <f ca="1">IF(K3&lt;=YEAR(TODAY()),"!","")</f>
        <v>!</v>
      </c>
      <c r="M3" t="s">
        <v>533</v>
      </c>
    </row>
    <row r="4" spans="1:27" x14ac:dyDescent="0.2">
      <c r="A4" s="14" t="s">
        <v>270</v>
      </c>
      <c r="B4" s="5">
        <v>45906</v>
      </c>
      <c r="C4" t="s">
        <v>269</v>
      </c>
      <c r="D4" t="s">
        <v>529</v>
      </c>
      <c r="E4" t="s">
        <v>263</v>
      </c>
      <c r="F4">
        <v>2024</v>
      </c>
      <c r="G4" s="9">
        <v>11.91</v>
      </c>
      <c r="H4" s="9">
        <v>11.91</v>
      </c>
      <c r="I4" s="9">
        <v>11.91</v>
      </c>
      <c r="J4" s="9">
        <v>11.91</v>
      </c>
      <c r="K4" s="1">
        <f>IF(D4="A-Station",F4+3,"")</f>
        <v>2027</v>
      </c>
      <c r="L4" s="30" t="str">
        <f ca="1">IF(K4&lt;=YEAR(TODAY()),"!","")</f>
        <v/>
      </c>
    </row>
    <row r="5" spans="1:27" x14ac:dyDescent="0.2">
      <c r="A5" s="14" t="s">
        <v>534</v>
      </c>
      <c r="B5" s="5">
        <v>46239</v>
      </c>
      <c r="C5" s="14" t="s">
        <v>269</v>
      </c>
      <c r="D5" t="s">
        <v>529</v>
      </c>
      <c r="E5" s="4" t="s">
        <v>535</v>
      </c>
      <c r="F5">
        <v>2024</v>
      </c>
      <c r="G5" s="9">
        <v>12.14</v>
      </c>
      <c r="H5" s="9">
        <v>12.14</v>
      </c>
      <c r="I5" s="9">
        <v>12.14</v>
      </c>
      <c r="J5" s="9">
        <v>12.14</v>
      </c>
      <c r="K5" s="1">
        <f>IF(D5="A-Station",F5+3,"")</f>
        <v>2027</v>
      </c>
      <c r="L5" s="30" t="str">
        <f ca="1">IF(K5&lt;=YEAR(TODAY()),"!","")</f>
        <v/>
      </c>
      <c r="S5" s="28"/>
    </row>
    <row r="6" spans="1:27" x14ac:dyDescent="0.2">
      <c r="A6" s="14" t="s">
        <v>536</v>
      </c>
      <c r="B6" s="5">
        <v>46129</v>
      </c>
      <c r="C6" s="14" t="s">
        <v>269</v>
      </c>
      <c r="D6" s="14" t="s">
        <v>537</v>
      </c>
      <c r="E6" s="4" t="s">
        <v>538</v>
      </c>
      <c r="F6">
        <v>2022</v>
      </c>
      <c r="G6" s="9">
        <v>11.38</v>
      </c>
      <c r="H6" s="9">
        <v>11.38</v>
      </c>
      <c r="I6" s="9">
        <v>11.38</v>
      </c>
      <c r="J6" s="9">
        <v>11.38</v>
      </c>
      <c r="K6" s="1" t="str">
        <f>IF(D6="A-Station",F6+3,"")</f>
        <v/>
      </c>
      <c r="L6" s="30" t="str">
        <f ca="1">IF(K6&lt;=YEAR(TODAY()),"!","")</f>
        <v/>
      </c>
      <c r="M6" t="s">
        <v>539</v>
      </c>
    </row>
    <row r="7" spans="1:27" x14ac:dyDescent="0.2">
      <c r="A7" s="14" t="s">
        <v>305</v>
      </c>
      <c r="B7" s="5">
        <v>45895</v>
      </c>
      <c r="C7" t="s">
        <v>269</v>
      </c>
      <c r="D7" t="s">
        <v>529</v>
      </c>
      <c r="E7" s="4" t="s">
        <v>301</v>
      </c>
      <c r="F7">
        <v>2024</v>
      </c>
      <c r="G7" s="9">
        <v>6.96</v>
      </c>
      <c r="H7" s="9">
        <v>6.96</v>
      </c>
      <c r="I7" s="9">
        <v>6.96</v>
      </c>
      <c r="J7" s="9">
        <v>6.96</v>
      </c>
      <c r="K7" s="1">
        <f>IF(D7="A-Station",F7+3,"")</f>
        <v>2027</v>
      </c>
      <c r="L7" s="30" t="str">
        <f ca="1">IF(K7&lt;=YEAR(TODAY()),"!","")</f>
        <v/>
      </c>
    </row>
    <row r="8" spans="1:27" x14ac:dyDescent="0.2">
      <c r="A8" s="14" t="s">
        <v>540</v>
      </c>
      <c r="B8" s="5">
        <v>46129</v>
      </c>
      <c r="C8" s="14" t="s">
        <v>269</v>
      </c>
      <c r="D8" t="s">
        <v>541</v>
      </c>
      <c r="E8" s="4" t="s">
        <v>542</v>
      </c>
      <c r="F8">
        <v>2024</v>
      </c>
      <c r="G8" s="9">
        <v>8.69</v>
      </c>
      <c r="H8" s="9">
        <v>8.69</v>
      </c>
      <c r="I8" s="9">
        <v>8.69</v>
      </c>
      <c r="J8" s="9">
        <v>8.69</v>
      </c>
      <c r="K8" s="1" t="str">
        <f>IF(D8="A-Station",F8+3,"")</f>
        <v/>
      </c>
      <c r="L8" s="30" t="str">
        <f ca="1">IF(K8&lt;=YEAR(TODAY()),"!","")</f>
        <v/>
      </c>
      <c r="T8" s="14"/>
      <c r="AA8" s="14"/>
    </row>
    <row r="9" spans="1:27" x14ac:dyDescent="0.2">
      <c r="A9" s="50" t="s">
        <v>297</v>
      </c>
      <c r="B9" s="5">
        <v>45900</v>
      </c>
      <c r="C9" s="14" t="s">
        <v>269</v>
      </c>
      <c r="D9" t="s">
        <v>529</v>
      </c>
      <c r="E9" s="14" t="s">
        <v>292</v>
      </c>
      <c r="F9">
        <v>2024</v>
      </c>
      <c r="G9" s="9">
        <v>7.88</v>
      </c>
      <c r="H9" s="9">
        <v>7.88</v>
      </c>
      <c r="I9" s="9">
        <v>7.88</v>
      </c>
      <c r="J9" s="9">
        <v>7.88</v>
      </c>
      <c r="K9" s="1">
        <f>IF(D9="A-Station",F9+3,"")</f>
        <v>2027</v>
      </c>
      <c r="L9" s="30" t="str">
        <f ca="1">IF(K9&lt;=YEAR(TODAY()),"!","")</f>
        <v/>
      </c>
      <c r="T9" s="14"/>
      <c r="AA9" s="14"/>
    </row>
    <row r="10" spans="1:27" x14ac:dyDescent="0.2">
      <c r="A10" s="14" t="s">
        <v>456</v>
      </c>
      <c r="B10" s="5">
        <v>46129</v>
      </c>
      <c r="C10" s="14" t="s">
        <v>269</v>
      </c>
      <c r="D10" s="14" t="s">
        <v>537</v>
      </c>
      <c r="E10" s="4" t="s">
        <v>538</v>
      </c>
      <c r="F10">
        <v>2023</v>
      </c>
      <c r="G10" s="9">
        <v>10.06</v>
      </c>
      <c r="H10" s="9">
        <v>10.06</v>
      </c>
      <c r="I10" s="9">
        <v>10.06</v>
      </c>
      <c r="J10" s="9">
        <v>10.06</v>
      </c>
      <c r="K10" s="1" t="str">
        <f>IF(D10="A-Station",F10+3,"")</f>
        <v/>
      </c>
      <c r="L10" s="30" t="str">
        <f ca="1">IF(K10&lt;=YEAR(TODAY()),"!","")</f>
        <v/>
      </c>
      <c r="M10" t="s">
        <v>539</v>
      </c>
      <c r="T10" s="14"/>
      <c r="AA10" s="14"/>
    </row>
    <row r="11" spans="1:27" x14ac:dyDescent="0.2">
      <c r="A11" s="50" t="s">
        <v>543</v>
      </c>
      <c r="B11" s="5">
        <v>46129</v>
      </c>
      <c r="C11" s="14" t="s">
        <v>269</v>
      </c>
      <c r="D11" s="14" t="s">
        <v>544</v>
      </c>
      <c r="E11" s="4" t="s">
        <v>334</v>
      </c>
      <c r="F11">
        <v>2021</v>
      </c>
      <c r="G11" s="9">
        <v>9.75</v>
      </c>
      <c r="H11" s="9">
        <v>9.75</v>
      </c>
      <c r="I11" s="9">
        <v>9.75</v>
      </c>
      <c r="J11" s="9">
        <v>9.75</v>
      </c>
      <c r="K11" s="1" t="str">
        <f>IF(D11="A-Station",F11+3,"")</f>
        <v/>
      </c>
      <c r="L11" s="30" t="str">
        <f ca="1">IF(K11&lt;=YEAR(TODAY()),"!","")</f>
        <v/>
      </c>
      <c r="T11" s="14"/>
      <c r="AA11" s="14"/>
    </row>
    <row r="12" spans="1:27" x14ac:dyDescent="0.2">
      <c r="A12" s="50" t="s">
        <v>545</v>
      </c>
      <c r="B12" s="5">
        <v>46129</v>
      </c>
      <c r="C12" s="14" t="s">
        <v>269</v>
      </c>
      <c r="D12" s="14" t="s">
        <v>537</v>
      </c>
      <c r="E12" s="4" t="s">
        <v>538</v>
      </c>
      <c r="F12">
        <v>2024</v>
      </c>
      <c r="G12" s="9">
        <v>11.29</v>
      </c>
      <c r="H12" s="9">
        <v>11.29</v>
      </c>
      <c r="I12" s="9">
        <v>11.29</v>
      </c>
      <c r="J12" s="9">
        <v>11.29</v>
      </c>
      <c r="K12" s="1" t="str">
        <f>IF(D12="A-Station",F12+3,"")</f>
        <v/>
      </c>
      <c r="L12" s="30" t="str">
        <f ca="1">IF(K12&lt;=YEAR(TODAY()),"!","")</f>
        <v/>
      </c>
      <c r="M12" t="s">
        <v>539</v>
      </c>
    </row>
    <row r="13" spans="1:27" x14ac:dyDescent="0.2">
      <c r="A13" s="14" t="s">
        <v>429</v>
      </c>
      <c r="B13" s="5">
        <v>45422</v>
      </c>
      <c r="C13" t="s">
        <v>269</v>
      </c>
      <c r="D13" t="s">
        <v>529</v>
      </c>
      <c r="E13" t="s">
        <v>426</v>
      </c>
      <c r="F13">
        <v>2023</v>
      </c>
      <c r="G13" s="9">
        <v>8.73</v>
      </c>
      <c r="H13" s="9">
        <v>8.73</v>
      </c>
      <c r="I13" s="9">
        <v>8.73</v>
      </c>
      <c r="J13" s="9">
        <v>8.73</v>
      </c>
      <c r="K13" s="1">
        <f>IF(D13="A-Station",F13+3,"")</f>
        <v>2026</v>
      </c>
      <c r="L13" s="30" t="str">
        <f ca="1">IF(K13&lt;=YEAR(TODAY()),"!","")</f>
        <v>!</v>
      </c>
    </row>
    <row r="14" spans="1:27" x14ac:dyDescent="0.2">
      <c r="A14" s="50" t="s">
        <v>546</v>
      </c>
      <c r="B14" s="5">
        <v>46129</v>
      </c>
      <c r="C14" s="14" t="s">
        <v>269</v>
      </c>
      <c r="D14" s="14" t="s">
        <v>544</v>
      </c>
      <c r="E14" s="4" t="s">
        <v>384</v>
      </c>
      <c r="F14">
        <v>2022</v>
      </c>
      <c r="G14" s="9">
        <v>12.08</v>
      </c>
      <c r="H14" s="9">
        <v>12.08</v>
      </c>
      <c r="I14" s="9">
        <v>12.08</v>
      </c>
      <c r="J14" s="9">
        <v>12.08</v>
      </c>
      <c r="K14" s="1" t="str">
        <f>IF(D14="A-Station",F14+3,"")</f>
        <v/>
      </c>
      <c r="L14" s="30" t="str">
        <f ca="1">IF(K14&lt;=YEAR(TODAY()),"!","")</f>
        <v/>
      </c>
    </row>
    <row r="15" spans="1:27" x14ac:dyDescent="0.2">
      <c r="A15" s="50" t="s">
        <v>547</v>
      </c>
      <c r="B15" s="5">
        <v>46129</v>
      </c>
      <c r="C15" s="14" t="s">
        <v>269</v>
      </c>
      <c r="D15" s="14" t="s">
        <v>537</v>
      </c>
      <c r="E15" s="14" t="s">
        <v>548</v>
      </c>
      <c r="F15">
        <v>2018</v>
      </c>
      <c r="G15" s="9">
        <v>8.5</v>
      </c>
      <c r="H15" s="9">
        <v>8.5</v>
      </c>
      <c r="I15" s="9">
        <v>8.5</v>
      </c>
      <c r="J15" s="9">
        <v>8.5</v>
      </c>
      <c r="K15" s="1" t="str">
        <f>IF(D15="A-Station",F15+3,"")</f>
        <v/>
      </c>
      <c r="L15" s="30" t="str">
        <f ca="1">IF(K15&lt;=YEAR(TODAY()),"!","")</f>
        <v/>
      </c>
    </row>
    <row r="16" spans="1:27" x14ac:dyDescent="0.2">
      <c r="A16" s="14" t="s">
        <v>507</v>
      </c>
      <c r="B16" s="5">
        <v>46129</v>
      </c>
      <c r="C16" s="14" t="s">
        <v>269</v>
      </c>
      <c r="D16" t="s">
        <v>541</v>
      </c>
      <c r="E16" s="4" t="s">
        <v>542</v>
      </c>
      <c r="F16">
        <v>2024</v>
      </c>
      <c r="G16" s="9">
        <v>12.19</v>
      </c>
      <c r="H16" s="9">
        <v>12.19</v>
      </c>
      <c r="I16" s="9">
        <v>12.19</v>
      </c>
      <c r="J16" s="9">
        <v>12.19</v>
      </c>
      <c r="K16" s="1" t="str">
        <f>IF(D16="A-Station",F16+3,"")</f>
        <v/>
      </c>
      <c r="L16" s="30" t="str">
        <f ca="1">IF(K16&lt;=YEAR(TODAY()),"!","")</f>
        <v/>
      </c>
    </row>
    <row r="17" spans="1:14" x14ac:dyDescent="0.2">
      <c r="A17" s="50" t="s">
        <v>464</v>
      </c>
      <c r="B17" s="5">
        <v>46129</v>
      </c>
      <c r="C17" s="14" t="s">
        <v>269</v>
      </c>
      <c r="D17" t="s">
        <v>549</v>
      </c>
      <c r="E17" s="4" t="s">
        <v>542</v>
      </c>
      <c r="F17">
        <v>2022</v>
      </c>
      <c r="G17" s="9">
        <v>8.27</v>
      </c>
      <c r="H17" s="9">
        <v>8.27</v>
      </c>
      <c r="I17" s="9">
        <v>8.27</v>
      </c>
      <c r="J17" s="9">
        <v>8.27</v>
      </c>
      <c r="K17" s="1" t="str">
        <f>IF(D17="A-Station",F17+3,"")</f>
        <v/>
      </c>
      <c r="L17" s="30" t="str">
        <f ca="1">IF(K17&lt;=YEAR(TODAY()),"!","")</f>
        <v/>
      </c>
    </row>
    <row r="18" spans="1:14" x14ac:dyDescent="0.2">
      <c r="A18" s="50" t="s">
        <v>374</v>
      </c>
      <c r="B18" s="5">
        <v>46129</v>
      </c>
      <c r="C18" s="14" t="s">
        <v>269</v>
      </c>
      <c r="D18" s="14" t="s">
        <v>537</v>
      </c>
      <c r="E18" s="4" t="s">
        <v>538</v>
      </c>
      <c r="F18">
        <v>2023</v>
      </c>
      <c r="G18" s="9">
        <v>8.65</v>
      </c>
      <c r="H18" s="9">
        <v>8.65</v>
      </c>
      <c r="I18" s="9">
        <v>8.65</v>
      </c>
      <c r="J18" s="9">
        <v>8.65</v>
      </c>
      <c r="K18" s="1" t="str">
        <f>IF(D18="A-Station",F18+3,"")</f>
        <v/>
      </c>
      <c r="L18" s="30" t="str">
        <f ca="1">IF(K18&lt;=YEAR(TODAY()),"!","")</f>
        <v/>
      </c>
      <c r="M18" t="s">
        <v>539</v>
      </c>
    </row>
    <row r="19" spans="1:14" x14ac:dyDescent="0.2">
      <c r="A19" s="50" t="s">
        <v>550</v>
      </c>
      <c r="B19" s="5">
        <v>46129</v>
      </c>
      <c r="C19" s="14" t="s">
        <v>269</v>
      </c>
      <c r="D19" s="14" t="s">
        <v>537</v>
      </c>
      <c r="E19" s="4" t="s">
        <v>538</v>
      </c>
      <c r="F19">
        <v>2018</v>
      </c>
      <c r="G19" s="9">
        <v>11.73</v>
      </c>
      <c r="H19" s="9">
        <v>11.73</v>
      </c>
      <c r="I19" s="9">
        <v>11.73</v>
      </c>
      <c r="J19" s="9">
        <v>11.73</v>
      </c>
      <c r="K19" s="1" t="str">
        <f>IF(D19="A-Station",F19+3,"")</f>
        <v/>
      </c>
      <c r="L19" s="30" t="str">
        <f ca="1">IF(K19&lt;=YEAR(TODAY()),"!","")</f>
        <v/>
      </c>
      <c r="M19" t="s">
        <v>539</v>
      </c>
    </row>
    <row r="20" spans="1:14" x14ac:dyDescent="0.2">
      <c r="A20" s="50" t="s">
        <v>378</v>
      </c>
      <c r="B20" s="5">
        <v>46129</v>
      </c>
      <c r="C20" s="14" t="s">
        <v>269</v>
      </c>
      <c r="D20" s="14" t="s">
        <v>537</v>
      </c>
      <c r="E20" s="4" t="s">
        <v>538</v>
      </c>
      <c r="F20">
        <v>2021</v>
      </c>
      <c r="G20" s="9">
        <v>9.65</v>
      </c>
      <c r="H20" s="9">
        <v>9.65</v>
      </c>
      <c r="I20" s="9">
        <v>9.65</v>
      </c>
      <c r="J20" s="9">
        <v>9.65</v>
      </c>
      <c r="K20" s="1" t="str">
        <f>IF(D20="A-Station",F20+3,"")</f>
        <v/>
      </c>
      <c r="L20" s="30" t="str">
        <f ca="1">IF(K20&lt;=YEAR(TODAY()),"!","")</f>
        <v/>
      </c>
      <c r="M20" t="s">
        <v>539</v>
      </c>
    </row>
    <row r="21" spans="1:14" x14ac:dyDescent="0.2">
      <c r="A21" s="50" t="s">
        <v>551</v>
      </c>
      <c r="B21" s="5">
        <v>46129</v>
      </c>
      <c r="C21" s="14" t="s">
        <v>269</v>
      </c>
      <c r="D21" s="14" t="s">
        <v>537</v>
      </c>
      <c r="E21" s="4" t="s">
        <v>538</v>
      </c>
      <c r="F21">
        <v>2022</v>
      </c>
      <c r="G21" s="9">
        <v>10.1</v>
      </c>
      <c r="H21" s="9">
        <v>10.1</v>
      </c>
      <c r="I21" s="9">
        <v>10.1</v>
      </c>
      <c r="J21" s="9">
        <v>10.1</v>
      </c>
      <c r="K21" s="1" t="str">
        <f>IF(D21="A-Station",F21+3,"")</f>
        <v/>
      </c>
      <c r="L21" s="30" t="str">
        <f ca="1">IF(K21&lt;=YEAR(TODAY()),"!","")</f>
        <v/>
      </c>
      <c r="M21" t="s">
        <v>539</v>
      </c>
    </row>
    <row r="22" spans="1:14" x14ac:dyDescent="0.2">
      <c r="A22" s="50" t="s">
        <v>551</v>
      </c>
      <c r="B22" s="5">
        <v>46129</v>
      </c>
      <c r="C22" s="14" t="s">
        <v>269</v>
      </c>
      <c r="D22" s="14" t="s">
        <v>537</v>
      </c>
      <c r="E22" s="4" t="s">
        <v>538</v>
      </c>
      <c r="F22">
        <v>2022</v>
      </c>
      <c r="G22" s="9">
        <v>10.1</v>
      </c>
      <c r="H22" s="9">
        <v>10.1</v>
      </c>
      <c r="I22" s="9">
        <v>10.1</v>
      </c>
      <c r="J22" s="9">
        <v>10.1</v>
      </c>
      <c r="K22" s="1" t="str">
        <f>IF(D22="A-Station",F22+3,"")</f>
        <v/>
      </c>
      <c r="L22" s="30" t="str">
        <f ca="1">IF(K22&lt;=YEAR(TODAY()),"!","")</f>
        <v/>
      </c>
      <c r="M22" t="s">
        <v>539</v>
      </c>
    </row>
    <row r="23" spans="1:14" x14ac:dyDescent="0.2">
      <c r="A23" s="50" t="s">
        <v>552</v>
      </c>
      <c r="B23" s="5">
        <v>46129</v>
      </c>
      <c r="C23" s="14" t="s">
        <v>269</v>
      </c>
      <c r="D23" s="14" t="s">
        <v>537</v>
      </c>
      <c r="E23" s="4" t="s">
        <v>538</v>
      </c>
      <c r="F23">
        <v>2013</v>
      </c>
      <c r="K23" s="1" t="str">
        <f>IF(D23="A-Station",F23+3,"")</f>
        <v/>
      </c>
      <c r="L23" s="30" t="str">
        <f ca="1">IF(K23&lt;=YEAR(TODAY()),"!","")</f>
        <v/>
      </c>
      <c r="M23" t="s">
        <v>539</v>
      </c>
    </row>
    <row r="24" spans="1:14" x14ac:dyDescent="0.2">
      <c r="A24" s="50" t="s">
        <v>553</v>
      </c>
      <c r="B24" s="5">
        <v>46129</v>
      </c>
      <c r="C24" s="14" t="s">
        <v>269</v>
      </c>
      <c r="D24" s="14" t="s">
        <v>537</v>
      </c>
      <c r="E24" s="4" t="s">
        <v>538</v>
      </c>
      <c r="F24">
        <v>2024</v>
      </c>
      <c r="G24" s="9">
        <v>11.75</v>
      </c>
      <c r="H24" s="9">
        <v>11.75</v>
      </c>
      <c r="I24" s="9">
        <v>11.75</v>
      </c>
      <c r="J24" s="9">
        <v>11.75</v>
      </c>
      <c r="K24" s="1" t="str">
        <f>IF(D24="A-Station",F24+3,"")</f>
        <v/>
      </c>
      <c r="L24" s="30" t="str">
        <f ca="1">IF(K24&lt;=YEAR(TODAY()),"!","")</f>
        <v/>
      </c>
      <c r="M24" t="s">
        <v>539</v>
      </c>
    </row>
    <row r="25" spans="1:14" x14ac:dyDescent="0.2">
      <c r="A25" s="14" t="s">
        <v>215</v>
      </c>
      <c r="B25" s="5">
        <v>45775</v>
      </c>
      <c r="C25" t="s">
        <v>214</v>
      </c>
      <c r="D25" t="s">
        <v>529</v>
      </c>
      <c r="E25" s="4" t="s">
        <v>204</v>
      </c>
      <c r="F25">
        <v>2021</v>
      </c>
      <c r="G25" s="9">
        <v>17.71</v>
      </c>
      <c r="H25" s="9">
        <v>16.739999999999998</v>
      </c>
      <c r="I25" s="9">
        <v>9.8800000000000008</v>
      </c>
      <c r="J25" s="9">
        <v>7.46</v>
      </c>
      <c r="K25" s="1">
        <f>IF(D25="A-Station",F25+3,"")</f>
        <v>2024</v>
      </c>
      <c r="L25" s="30" t="str">
        <f ca="1">IF(K25&lt;=YEAR(TODAY()),"!","")</f>
        <v>!</v>
      </c>
    </row>
    <row r="26" spans="1:14" x14ac:dyDescent="0.2">
      <c r="A26" s="14" t="s">
        <v>554</v>
      </c>
      <c r="B26" s="5">
        <v>46070</v>
      </c>
      <c r="C26" t="s">
        <v>214</v>
      </c>
      <c r="D26" t="s">
        <v>541</v>
      </c>
      <c r="E26" s="4" t="s">
        <v>542</v>
      </c>
      <c r="F26">
        <v>2026</v>
      </c>
      <c r="G26" s="9">
        <v>14.78</v>
      </c>
      <c r="H26" s="9">
        <v>11.1</v>
      </c>
      <c r="I26" s="9">
        <v>10.89</v>
      </c>
      <c r="J26" s="9">
        <v>8.9700000000000006</v>
      </c>
      <c r="K26" s="1" t="str">
        <f>IF(D26="A-Station",F26+3,"")</f>
        <v/>
      </c>
      <c r="L26" s="30" t="str">
        <f ca="1">IF(K26&lt;=YEAR(TODAY()),"!","")</f>
        <v/>
      </c>
    </row>
    <row r="27" spans="1:14" x14ac:dyDescent="0.2">
      <c r="A27" s="14" t="s">
        <v>151</v>
      </c>
      <c r="B27" s="5">
        <v>46249</v>
      </c>
      <c r="C27" t="s">
        <v>214</v>
      </c>
      <c r="D27" s="14" t="s">
        <v>529</v>
      </c>
      <c r="E27" s="4" t="s">
        <v>555</v>
      </c>
      <c r="F27">
        <v>2026</v>
      </c>
      <c r="G27" s="9">
        <v>14.26</v>
      </c>
      <c r="H27" s="9">
        <v>15.13</v>
      </c>
      <c r="I27" s="9">
        <v>9.6300000000000008</v>
      </c>
      <c r="J27" s="9">
        <v>9.77</v>
      </c>
      <c r="K27" s="1">
        <f>IF(D27="A-Station",F27+3,"")</f>
        <v>2029</v>
      </c>
      <c r="L27" s="30" t="str">
        <f ca="1">IF(K27&lt;=YEAR(TODAY()),"!","")</f>
        <v/>
      </c>
      <c r="M27" s="14"/>
      <c r="N27" s="14"/>
    </row>
    <row r="28" spans="1:14" x14ac:dyDescent="0.2">
      <c r="A28" s="50" t="s">
        <v>556</v>
      </c>
      <c r="B28" s="5">
        <v>46129</v>
      </c>
      <c r="C28" t="s">
        <v>214</v>
      </c>
      <c r="D28" s="14" t="s">
        <v>537</v>
      </c>
      <c r="E28" t="s">
        <v>557</v>
      </c>
      <c r="F28">
        <v>2011</v>
      </c>
      <c r="G28" s="9">
        <v>13.64</v>
      </c>
      <c r="H28" s="9">
        <v>12.44</v>
      </c>
      <c r="I28" s="9">
        <v>7.88</v>
      </c>
      <c r="J28" s="9">
        <v>8.1</v>
      </c>
      <c r="K28" s="1" t="str">
        <f>IF(D28="A-Station",F28+3,"")</f>
        <v/>
      </c>
      <c r="L28" s="30" t="str">
        <f ca="1">IF(K28&lt;=YEAR(TODAY()),"!","")</f>
        <v/>
      </c>
    </row>
    <row r="29" spans="1:14" x14ac:dyDescent="0.2">
      <c r="A29" s="50" t="s">
        <v>558</v>
      </c>
      <c r="B29" s="5">
        <v>46129</v>
      </c>
      <c r="C29" t="s">
        <v>214</v>
      </c>
      <c r="D29" s="14" t="s">
        <v>537</v>
      </c>
      <c r="E29" t="s">
        <v>557</v>
      </c>
      <c r="F29">
        <v>2012</v>
      </c>
      <c r="G29" s="9">
        <v>12.11</v>
      </c>
      <c r="H29" s="9">
        <v>12.29</v>
      </c>
      <c r="I29" s="9">
        <v>6.79</v>
      </c>
      <c r="J29" s="9">
        <v>9.91</v>
      </c>
      <c r="K29" s="1" t="str">
        <f>IF(D29="A-Station",F29+3,"")</f>
        <v/>
      </c>
      <c r="L29" s="30" t="str">
        <f ca="1">IF(K29&lt;=YEAR(TODAY()),"!","")</f>
        <v/>
      </c>
    </row>
    <row r="30" spans="1:14" x14ac:dyDescent="0.2">
      <c r="A30" s="14" t="s">
        <v>189</v>
      </c>
      <c r="B30" s="5">
        <v>46224</v>
      </c>
      <c r="C30" t="s">
        <v>214</v>
      </c>
      <c r="D30" t="s">
        <v>529</v>
      </c>
      <c r="E30" s="4" t="s">
        <v>186</v>
      </c>
      <c r="F30">
        <v>2026</v>
      </c>
      <c r="G30" s="9">
        <v>16.86</v>
      </c>
      <c r="H30" s="9">
        <v>16.37</v>
      </c>
      <c r="I30" s="9">
        <v>9.16</v>
      </c>
      <c r="J30" s="9">
        <v>11.85</v>
      </c>
      <c r="K30" s="1">
        <f>IF(D30="A-Station",F30+3,"")</f>
        <v>2029</v>
      </c>
      <c r="L30" s="30" t="str">
        <f ca="1">IF(K30&lt;=YEAR(TODAY()),"!","")</f>
        <v/>
      </c>
    </row>
    <row r="31" spans="1:14" x14ac:dyDescent="0.2">
      <c r="A31" s="14" t="s">
        <v>559</v>
      </c>
      <c r="B31" s="5">
        <v>46196</v>
      </c>
      <c r="C31" t="s">
        <v>214</v>
      </c>
      <c r="D31" t="s">
        <v>560</v>
      </c>
      <c r="E31" s="4" t="s">
        <v>675</v>
      </c>
      <c r="F31">
        <v>2023</v>
      </c>
      <c r="G31" s="9">
        <v>13.33</v>
      </c>
      <c r="H31" s="9">
        <v>12.27</v>
      </c>
      <c r="I31" s="9">
        <v>12.25</v>
      </c>
      <c r="J31" s="9">
        <v>8.11</v>
      </c>
      <c r="K31" s="1" t="str">
        <f>IF(D31="A-Station",F31+3,"")</f>
        <v/>
      </c>
      <c r="L31" s="30" t="str">
        <f ca="1">IF(K31&lt;=YEAR(TODAY()),"!","")</f>
        <v/>
      </c>
    </row>
    <row r="32" spans="1:14" x14ac:dyDescent="0.2">
      <c r="A32" s="14" t="s">
        <v>562</v>
      </c>
      <c r="B32" s="5">
        <v>46158</v>
      </c>
      <c r="C32" t="s">
        <v>214</v>
      </c>
      <c r="D32" t="s">
        <v>529</v>
      </c>
      <c r="E32" t="s">
        <v>379</v>
      </c>
      <c r="F32">
        <v>2019</v>
      </c>
      <c r="G32" s="9">
        <v>16.940000000000001</v>
      </c>
      <c r="H32" s="9">
        <v>10.77</v>
      </c>
      <c r="I32" s="9">
        <v>13.39</v>
      </c>
      <c r="J32" s="9">
        <v>11.97</v>
      </c>
      <c r="K32" s="1">
        <f>IF(D32="A-Station",F32+3,"")</f>
        <v>2022</v>
      </c>
      <c r="L32" s="30" t="str">
        <f ca="1">IF(K32&lt;=YEAR(TODAY()),"!","")</f>
        <v>!</v>
      </c>
    </row>
    <row r="33" spans="1:13" x14ac:dyDescent="0.2">
      <c r="A33" s="14" t="s">
        <v>563</v>
      </c>
      <c r="B33" s="5">
        <v>46270</v>
      </c>
      <c r="C33" t="s">
        <v>214</v>
      </c>
      <c r="D33" s="14" t="s">
        <v>529</v>
      </c>
      <c r="E33" t="s">
        <v>421</v>
      </c>
      <c r="F33">
        <v>2024</v>
      </c>
      <c r="G33" s="9">
        <v>15.16</v>
      </c>
      <c r="H33" s="9">
        <v>14.82</v>
      </c>
      <c r="I33" s="9">
        <v>14.27</v>
      </c>
      <c r="J33" s="9">
        <v>8.41</v>
      </c>
      <c r="K33" s="1">
        <f>IF(D33="A-Station",F33+3,"")</f>
        <v>2027</v>
      </c>
      <c r="L33" s="30" t="str">
        <f ca="1">IF(K33&lt;=YEAR(TODAY()),"!","")</f>
        <v/>
      </c>
    </row>
    <row r="34" spans="1:13" x14ac:dyDescent="0.2">
      <c r="A34" s="14">
        <v>110723</v>
      </c>
      <c r="B34" s="5">
        <v>46224</v>
      </c>
      <c r="C34" t="s">
        <v>214</v>
      </c>
      <c r="D34" t="s">
        <v>560</v>
      </c>
      <c r="E34" s="4" t="s">
        <v>662</v>
      </c>
      <c r="F34">
        <v>2023</v>
      </c>
      <c r="G34" s="9">
        <v>13.06</v>
      </c>
      <c r="H34" s="9">
        <v>16.16</v>
      </c>
      <c r="I34" s="9">
        <v>8.35</v>
      </c>
      <c r="J34" s="9">
        <v>14.38</v>
      </c>
      <c r="K34" s="1" t="str">
        <f>IF(D34="A-Station",F34+3,"")</f>
        <v/>
      </c>
      <c r="L34" s="30" t="str">
        <f ca="1">IF(K34&lt;=YEAR(TODAY()),"!","")</f>
        <v/>
      </c>
    </row>
    <row r="35" spans="1:13" x14ac:dyDescent="0.2">
      <c r="A35" s="50" t="s">
        <v>321</v>
      </c>
      <c r="B35" s="5">
        <v>45823</v>
      </c>
      <c r="C35" t="s">
        <v>214</v>
      </c>
      <c r="D35" t="s">
        <v>529</v>
      </c>
      <c r="E35" t="s">
        <v>317</v>
      </c>
      <c r="F35">
        <v>2023</v>
      </c>
      <c r="G35" s="9">
        <v>13.38</v>
      </c>
      <c r="H35" s="9">
        <v>13.6</v>
      </c>
      <c r="I35" s="9">
        <v>12.46</v>
      </c>
      <c r="J35" s="9">
        <v>12.27</v>
      </c>
      <c r="K35" s="1">
        <f>IF(D35="A-Station",F35+3,"")</f>
        <v>2026</v>
      </c>
      <c r="L35" s="30" t="str">
        <f ca="1">IF(K35&lt;=YEAR(TODAY()),"!","")</f>
        <v>!</v>
      </c>
    </row>
    <row r="36" spans="1:13" x14ac:dyDescent="0.2">
      <c r="A36" s="14" t="s">
        <v>567</v>
      </c>
      <c r="B36" s="5">
        <v>46129</v>
      </c>
      <c r="C36" t="s">
        <v>214</v>
      </c>
      <c r="D36" s="14" t="s">
        <v>537</v>
      </c>
      <c r="E36" t="s">
        <v>564</v>
      </c>
      <c r="F36">
        <v>2018</v>
      </c>
      <c r="G36" s="9">
        <v>13.96</v>
      </c>
      <c r="H36" s="9">
        <v>14.27</v>
      </c>
      <c r="I36" s="9">
        <v>7.97</v>
      </c>
      <c r="J36" s="9">
        <v>14.31</v>
      </c>
      <c r="K36" s="1" t="str">
        <f>IF(D36="A-Station",F36+3,"")</f>
        <v/>
      </c>
      <c r="L36" s="30" t="str">
        <f ca="1">IF(K36&lt;=YEAR(TODAY()),"!","")</f>
        <v/>
      </c>
      <c r="M36" t="s">
        <v>568</v>
      </c>
    </row>
    <row r="37" spans="1:13" x14ac:dyDescent="0.2">
      <c r="A37" s="14" t="s">
        <v>569</v>
      </c>
      <c r="B37" s="5">
        <v>46129</v>
      </c>
      <c r="C37" t="s">
        <v>214</v>
      </c>
      <c r="D37" t="s">
        <v>544</v>
      </c>
      <c r="E37" t="s">
        <v>500</v>
      </c>
      <c r="F37">
        <v>2022</v>
      </c>
      <c r="G37" s="9">
        <v>11.64</v>
      </c>
      <c r="H37" s="9">
        <v>12.07</v>
      </c>
      <c r="I37" s="9">
        <v>10.47</v>
      </c>
      <c r="J37" s="9">
        <v>11.98</v>
      </c>
      <c r="K37" s="1" t="str">
        <f>IF(D37="A-Station",F37+3,"")</f>
        <v/>
      </c>
      <c r="L37" s="30" t="str">
        <f ca="1">IF(K37&lt;=YEAR(TODAY()),"!","")</f>
        <v/>
      </c>
    </row>
    <row r="38" spans="1:13" x14ac:dyDescent="0.2">
      <c r="A38" s="14" t="s">
        <v>570</v>
      </c>
      <c r="B38" s="5">
        <v>46158</v>
      </c>
      <c r="C38" t="s">
        <v>214</v>
      </c>
      <c r="D38" t="s">
        <v>529</v>
      </c>
      <c r="E38" t="s">
        <v>382</v>
      </c>
      <c r="F38">
        <v>2019</v>
      </c>
      <c r="G38" s="9">
        <v>12.2</v>
      </c>
      <c r="H38" s="9">
        <v>11.15</v>
      </c>
      <c r="I38" s="9">
        <v>10.28</v>
      </c>
      <c r="J38" s="9">
        <v>8.24</v>
      </c>
      <c r="K38" s="1">
        <f>IF(D38="A-Station",F38+3,"")</f>
        <v>2022</v>
      </c>
      <c r="L38" s="1" t="str">
        <f ca="1">IF(K38&lt;=YEAR(TODAY()),"!","")</f>
        <v>!</v>
      </c>
    </row>
    <row r="39" spans="1:13" x14ac:dyDescent="0.2">
      <c r="A39" s="14">
        <v>131451</v>
      </c>
      <c r="B39" s="5">
        <v>45776</v>
      </c>
      <c r="C39" t="s">
        <v>214</v>
      </c>
      <c r="D39" t="s">
        <v>560</v>
      </c>
      <c r="E39" t="s">
        <v>571</v>
      </c>
      <c r="F39">
        <v>2021</v>
      </c>
      <c r="G39" s="9">
        <v>15.89</v>
      </c>
      <c r="H39" s="9">
        <v>15.94</v>
      </c>
      <c r="I39" s="9">
        <v>10.92</v>
      </c>
      <c r="J39" s="9">
        <v>9.73</v>
      </c>
      <c r="K39" s="1" t="str">
        <f>IF(D39="A-Station",F39+3,"")</f>
        <v/>
      </c>
      <c r="L39" s="30" t="str">
        <f ca="1">IF(K39&lt;=YEAR(TODAY()),"!","")</f>
        <v/>
      </c>
    </row>
    <row r="40" spans="1:13" x14ac:dyDescent="0.2">
      <c r="A40" s="14" t="s">
        <v>572</v>
      </c>
      <c r="B40" s="5">
        <v>46224</v>
      </c>
      <c r="C40" t="s">
        <v>214</v>
      </c>
      <c r="D40" t="s">
        <v>560</v>
      </c>
      <c r="E40" s="4" t="s">
        <v>662</v>
      </c>
      <c r="F40">
        <v>2023</v>
      </c>
      <c r="G40" s="9">
        <v>10.31</v>
      </c>
      <c r="H40" s="9">
        <v>12.2</v>
      </c>
      <c r="I40" s="9">
        <v>10.78</v>
      </c>
      <c r="J40" s="9">
        <v>11.25</v>
      </c>
      <c r="K40" s="1" t="str">
        <f>IF(D40="A-Station",F40+3,"")</f>
        <v/>
      </c>
      <c r="L40" s="30" t="str">
        <f ca="1">IF(K40&lt;=YEAR(TODAY()),"!","")</f>
        <v/>
      </c>
    </row>
    <row r="41" spans="1:13" x14ac:dyDescent="0.2">
      <c r="A41" s="14" t="s">
        <v>504</v>
      </c>
      <c r="B41" s="5">
        <v>45905</v>
      </c>
      <c r="C41" t="s">
        <v>214</v>
      </c>
      <c r="D41" t="s">
        <v>560</v>
      </c>
      <c r="E41" s="4" t="s">
        <v>680</v>
      </c>
      <c r="F41">
        <v>2023</v>
      </c>
      <c r="G41" s="9">
        <v>10.23</v>
      </c>
      <c r="H41" s="9">
        <v>10.43</v>
      </c>
      <c r="I41" s="9">
        <v>11.61</v>
      </c>
      <c r="J41" s="9">
        <v>9.84</v>
      </c>
      <c r="K41" s="1" t="str">
        <f>IF(D41="A-Station",F41+3,"")</f>
        <v/>
      </c>
      <c r="L41" s="30" t="str">
        <f ca="1">IF(K41&lt;=YEAR(TODAY()),"!","")</f>
        <v/>
      </c>
    </row>
    <row r="42" spans="1:13" x14ac:dyDescent="0.2">
      <c r="A42" s="14" t="s">
        <v>290</v>
      </c>
      <c r="B42" s="5">
        <v>46129</v>
      </c>
      <c r="C42" t="s">
        <v>214</v>
      </c>
      <c r="D42" s="14" t="s">
        <v>537</v>
      </c>
      <c r="E42" t="s">
        <v>564</v>
      </c>
      <c r="F42">
        <v>2024</v>
      </c>
      <c r="G42" s="9">
        <v>14</v>
      </c>
      <c r="H42" s="9">
        <v>12.71</v>
      </c>
      <c r="I42" s="9">
        <v>11.42</v>
      </c>
      <c r="J42" s="9">
        <v>11.84</v>
      </c>
    </row>
    <row r="43" spans="1:13" x14ac:dyDescent="0.2">
      <c r="A43" s="14" t="s">
        <v>573</v>
      </c>
      <c r="B43" s="5">
        <v>46128</v>
      </c>
      <c r="C43" t="s">
        <v>214</v>
      </c>
      <c r="D43" t="s">
        <v>529</v>
      </c>
      <c r="E43" t="s">
        <v>413</v>
      </c>
      <c r="F43">
        <v>2023</v>
      </c>
      <c r="G43" s="9">
        <v>12.41</v>
      </c>
      <c r="H43" s="9">
        <v>12.37</v>
      </c>
      <c r="I43" s="9">
        <v>14</v>
      </c>
      <c r="J43" s="9">
        <v>10.72</v>
      </c>
      <c r="K43" s="1">
        <f>IF(D43="A-Station",F43+3,"")</f>
        <v>2026</v>
      </c>
      <c r="L43" s="30" t="str">
        <f ca="1">IF(K43&lt;=YEAR(TODAY()),"!","")</f>
        <v>!</v>
      </c>
    </row>
    <row r="44" spans="1:13" x14ac:dyDescent="0.2">
      <c r="A44" s="14" t="s">
        <v>574</v>
      </c>
      <c r="B44" s="5">
        <v>45787</v>
      </c>
      <c r="C44" t="s">
        <v>214</v>
      </c>
      <c r="D44" t="s">
        <v>529</v>
      </c>
      <c r="E44" s="4" t="s">
        <v>125</v>
      </c>
      <c r="F44">
        <v>2024</v>
      </c>
      <c r="G44" s="9">
        <v>13.41</v>
      </c>
      <c r="H44" s="9">
        <v>13.88</v>
      </c>
      <c r="I44" s="9">
        <v>13.59</v>
      </c>
      <c r="J44" s="9">
        <v>14.91</v>
      </c>
      <c r="K44" s="1">
        <f>IF(D44="A-Station",F44+3,"")</f>
        <v>2027</v>
      </c>
      <c r="L44" s="30" t="str">
        <f ca="1">IF(K44&lt;=YEAR(TODAY()),"!","")</f>
        <v/>
      </c>
    </row>
    <row r="45" spans="1:13" x14ac:dyDescent="0.2">
      <c r="A45" s="14" t="s">
        <v>575</v>
      </c>
      <c r="B45" s="5">
        <v>46129</v>
      </c>
      <c r="C45" t="s">
        <v>214</v>
      </c>
      <c r="D45" s="14" t="s">
        <v>537</v>
      </c>
      <c r="E45" t="s">
        <v>564</v>
      </c>
      <c r="F45">
        <v>2023</v>
      </c>
      <c r="G45" s="9">
        <v>15.16</v>
      </c>
      <c r="H45" s="9">
        <v>13.07</v>
      </c>
      <c r="I45" s="9">
        <v>12</v>
      </c>
      <c r="J45" s="9">
        <v>10.86</v>
      </c>
    </row>
    <row r="46" spans="1:13" x14ac:dyDescent="0.2">
      <c r="A46" s="50">
        <v>171513</v>
      </c>
      <c r="B46" s="5">
        <v>45889</v>
      </c>
      <c r="C46" t="s">
        <v>214</v>
      </c>
      <c r="D46" t="s">
        <v>529</v>
      </c>
      <c r="E46" t="s">
        <v>576</v>
      </c>
      <c r="F46">
        <v>2022</v>
      </c>
      <c r="G46" s="9">
        <v>11.61</v>
      </c>
      <c r="H46" s="9">
        <v>11.59</v>
      </c>
      <c r="I46" s="9">
        <v>13.33</v>
      </c>
      <c r="J46" s="9">
        <v>11.5</v>
      </c>
      <c r="K46" s="1">
        <f>IF(D46="A-Station",F46+3,"")</f>
        <v>2025</v>
      </c>
      <c r="L46" s="30" t="str">
        <f ca="1">IF(K46&lt;=YEAR(TODAY()),"!","")</f>
        <v>!</v>
      </c>
    </row>
    <row r="47" spans="1:13" x14ac:dyDescent="0.2">
      <c r="A47" s="50" t="s">
        <v>383</v>
      </c>
      <c r="B47" s="5">
        <v>45889</v>
      </c>
      <c r="C47" t="s">
        <v>214</v>
      </c>
      <c r="D47" t="s">
        <v>529</v>
      </c>
      <c r="E47" s="4" t="s">
        <v>577</v>
      </c>
      <c r="F47">
        <v>2022</v>
      </c>
      <c r="G47" s="9">
        <v>10.050000000000001</v>
      </c>
      <c r="H47" s="9">
        <v>14.53</v>
      </c>
      <c r="I47" s="9">
        <v>11.51</v>
      </c>
      <c r="J47" s="9">
        <v>11.82</v>
      </c>
      <c r="K47" s="1">
        <f>IF(D47="A-Station",F47+3,"")</f>
        <v>2025</v>
      </c>
      <c r="L47" s="30" t="str">
        <f ca="1">IF(K47&lt;=YEAR(TODAY()),"!","")</f>
        <v>!</v>
      </c>
    </row>
    <row r="48" spans="1:13" x14ac:dyDescent="0.2">
      <c r="A48" s="50" t="s">
        <v>491</v>
      </c>
      <c r="B48" s="5">
        <v>46158</v>
      </c>
      <c r="C48" t="s">
        <v>214</v>
      </c>
      <c r="D48" t="s">
        <v>560</v>
      </c>
      <c r="E48" t="s">
        <v>661</v>
      </c>
      <c r="F48">
        <v>2022</v>
      </c>
      <c r="G48" s="9">
        <v>12.87</v>
      </c>
      <c r="H48" s="9">
        <v>13.09</v>
      </c>
      <c r="I48" s="9">
        <v>11.28</v>
      </c>
      <c r="J48" s="9">
        <v>13.83</v>
      </c>
      <c r="K48" s="1" t="str">
        <f>IF(D48="A-Station",F48+3,"")</f>
        <v/>
      </c>
      <c r="L48" s="30" t="str">
        <f ca="1">IF(K48&lt;=YEAR(TODAY()),"!","")</f>
        <v/>
      </c>
      <c r="M48" t="s">
        <v>578</v>
      </c>
    </row>
    <row r="49" spans="1:27" x14ac:dyDescent="0.2">
      <c r="A49" s="14" t="s">
        <v>579</v>
      </c>
      <c r="B49" s="5">
        <v>46128</v>
      </c>
      <c r="C49" t="s">
        <v>214</v>
      </c>
      <c r="D49" t="s">
        <v>529</v>
      </c>
      <c r="E49" t="s">
        <v>502</v>
      </c>
      <c r="F49">
        <v>2022</v>
      </c>
      <c r="G49" s="9">
        <v>12.99</v>
      </c>
      <c r="H49" s="9">
        <v>14.88</v>
      </c>
      <c r="I49" s="9">
        <v>11.57</v>
      </c>
      <c r="J49" s="9">
        <v>14.37</v>
      </c>
      <c r="K49" s="1">
        <f>IF(D49="A-Station",F49+3,"")</f>
        <v>2025</v>
      </c>
      <c r="L49" s="30" t="str">
        <f ca="1">IF(K49&lt;=YEAR(TODAY()),"!","")</f>
        <v>!</v>
      </c>
      <c r="S49" s="14"/>
      <c r="T49" s="14"/>
      <c r="Z49" s="15"/>
      <c r="AA49" s="14"/>
    </row>
    <row r="50" spans="1:27" x14ac:dyDescent="0.2">
      <c r="A50" s="50" t="s">
        <v>580</v>
      </c>
      <c r="B50" s="5">
        <v>46128</v>
      </c>
      <c r="C50" t="s">
        <v>214</v>
      </c>
      <c r="D50" t="s">
        <v>529</v>
      </c>
      <c r="E50" t="s">
        <v>460</v>
      </c>
      <c r="F50">
        <v>2024</v>
      </c>
      <c r="G50" s="9">
        <v>15.45</v>
      </c>
      <c r="H50" s="9">
        <v>13.97</v>
      </c>
      <c r="I50" s="9">
        <v>12.22</v>
      </c>
      <c r="J50" s="9">
        <v>11.16</v>
      </c>
      <c r="K50" s="1">
        <f>IF(D50="A-Station",F50+3,"")</f>
        <v>2027</v>
      </c>
      <c r="L50" s="30" t="str">
        <f ca="1">IF(K50&lt;=YEAR(TODAY()),"!","")</f>
        <v/>
      </c>
      <c r="S50" s="14"/>
      <c r="T50" s="14"/>
      <c r="V50" s="9"/>
      <c r="W50" s="9"/>
      <c r="X50" s="9"/>
      <c r="Y50" s="9"/>
      <c r="Z50" s="15"/>
      <c r="AA50" s="14"/>
    </row>
    <row r="51" spans="1:27" x14ac:dyDescent="0.2">
      <c r="A51" s="50" t="s">
        <v>325</v>
      </c>
      <c r="B51" s="5">
        <v>45823</v>
      </c>
      <c r="C51" t="s">
        <v>214</v>
      </c>
      <c r="D51" t="s">
        <v>529</v>
      </c>
      <c r="E51" t="s">
        <v>322</v>
      </c>
      <c r="F51">
        <v>2025</v>
      </c>
      <c r="G51" s="9">
        <v>15.99</v>
      </c>
      <c r="H51" s="9">
        <v>11.93</v>
      </c>
      <c r="I51" s="9">
        <v>13.32</v>
      </c>
      <c r="J51" s="9">
        <v>11.43</v>
      </c>
      <c r="K51" s="1">
        <f>IF(D51="A-Station",F51+3,"")</f>
        <v>2028</v>
      </c>
      <c r="L51" s="30" t="str">
        <f ca="1">IF(K51&lt;=YEAR(TODAY()),"!","")</f>
        <v/>
      </c>
      <c r="S51" s="14"/>
      <c r="T51" s="14"/>
      <c r="V51" s="9"/>
      <c r="W51" s="9"/>
      <c r="X51" s="9"/>
      <c r="Y51" s="9"/>
      <c r="Z51" s="4"/>
      <c r="AA51" s="14"/>
    </row>
    <row r="52" spans="1:27" x14ac:dyDescent="0.2">
      <c r="A52" s="50" t="s">
        <v>581</v>
      </c>
      <c r="B52" s="5">
        <v>45894</v>
      </c>
      <c r="C52" t="s">
        <v>214</v>
      </c>
      <c r="D52" t="s">
        <v>560</v>
      </c>
      <c r="E52" s="4" t="s">
        <v>674</v>
      </c>
      <c r="F52">
        <v>2023</v>
      </c>
      <c r="G52" s="9">
        <v>11.73</v>
      </c>
      <c r="H52" s="9">
        <v>15.15</v>
      </c>
      <c r="I52" s="9">
        <v>13.77</v>
      </c>
      <c r="J52" s="9">
        <v>13.99</v>
      </c>
      <c r="K52" s="1" t="str">
        <f>IF(D52="A-Station",F52+3,"")</f>
        <v/>
      </c>
      <c r="L52" s="30" t="str">
        <f ca="1">IF(K52&lt;=YEAR(TODAY()),"!","")</f>
        <v/>
      </c>
      <c r="S52" s="14"/>
      <c r="T52" s="14"/>
      <c r="V52" s="9"/>
      <c r="W52" s="9"/>
      <c r="X52" s="9"/>
      <c r="Y52" s="9"/>
      <c r="Z52" s="4"/>
      <c r="AA52" s="14"/>
    </row>
    <row r="53" spans="1:27" x14ac:dyDescent="0.2">
      <c r="A53" s="14" t="s">
        <v>582</v>
      </c>
      <c r="B53" s="5">
        <v>46128</v>
      </c>
      <c r="C53" t="s">
        <v>214</v>
      </c>
      <c r="D53" t="s">
        <v>529</v>
      </c>
      <c r="E53" t="s">
        <v>583</v>
      </c>
      <c r="F53">
        <v>2024</v>
      </c>
      <c r="G53" s="9">
        <v>12.01</v>
      </c>
      <c r="H53" s="9">
        <v>11.17</v>
      </c>
      <c r="I53" s="9">
        <v>12.68</v>
      </c>
      <c r="J53" s="9">
        <v>11.29</v>
      </c>
      <c r="K53" s="1">
        <f>IF(D53="A-Station",F53+3,"")</f>
        <v>2027</v>
      </c>
      <c r="L53" s="30" t="str">
        <f ca="1">IF(K53&lt;=YEAR(TODAY()),"!","")</f>
        <v/>
      </c>
      <c r="M53" t="s">
        <v>584</v>
      </c>
      <c r="S53" s="14"/>
      <c r="T53" s="14"/>
      <c r="V53" s="9"/>
      <c r="W53" s="9"/>
      <c r="X53" s="9"/>
      <c r="Y53" s="9"/>
      <c r="Z53" s="4"/>
      <c r="AA53" s="14"/>
    </row>
    <row r="54" spans="1:27" x14ac:dyDescent="0.2">
      <c r="A54" s="14" t="s">
        <v>281</v>
      </c>
      <c r="B54" s="5">
        <v>45905</v>
      </c>
      <c r="C54" t="s">
        <v>214</v>
      </c>
      <c r="D54" t="s">
        <v>529</v>
      </c>
      <c r="E54" s="4" t="s">
        <v>278</v>
      </c>
      <c r="F54">
        <v>2025</v>
      </c>
      <c r="G54" s="9">
        <v>13.57</v>
      </c>
      <c r="H54" s="9">
        <v>11.76</v>
      </c>
      <c r="I54" s="9">
        <v>14.15</v>
      </c>
      <c r="J54" s="9">
        <v>14.54</v>
      </c>
      <c r="K54" s="1">
        <f>IF(D54="A-Station",F54+3,"")</f>
        <v>2028</v>
      </c>
      <c r="L54" s="30" t="str">
        <f ca="1">IF(K54&lt;=YEAR(TODAY()),"!","")</f>
        <v/>
      </c>
      <c r="S54" s="14"/>
      <c r="T54" s="14"/>
      <c r="V54" s="9"/>
      <c r="W54" s="9"/>
      <c r="X54" s="9"/>
      <c r="Y54" s="9"/>
      <c r="Z54" s="4"/>
      <c r="AA54" s="14"/>
    </row>
    <row r="55" spans="1:27" x14ac:dyDescent="0.2">
      <c r="A55" s="50">
        <v>202380</v>
      </c>
      <c r="B55" s="5">
        <v>46070</v>
      </c>
      <c r="C55" t="s">
        <v>214</v>
      </c>
      <c r="D55" t="s">
        <v>585</v>
      </c>
      <c r="E55" s="4" t="s">
        <v>586</v>
      </c>
      <c r="F55">
        <v>2026</v>
      </c>
      <c r="G55" s="9">
        <v>13.95</v>
      </c>
      <c r="H55" s="9">
        <v>11.88</v>
      </c>
      <c r="I55" s="9">
        <v>14.79</v>
      </c>
      <c r="J55" s="9">
        <v>12.02</v>
      </c>
      <c r="K55" s="1" t="str">
        <f>IF(D55="A-Station",F55+3,"")</f>
        <v/>
      </c>
      <c r="L55" s="30" t="str">
        <f ca="1">IF(K55&lt;=YEAR(TODAY()),"!","")</f>
        <v/>
      </c>
      <c r="R55" s="14"/>
      <c r="S55" s="14"/>
      <c r="T55" s="14"/>
      <c r="V55" s="9"/>
      <c r="W55" s="9"/>
      <c r="X55" s="9"/>
      <c r="Y55" s="9"/>
      <c r="Z55" s="4"/>
      <c r="AA55" s="14"/>
    </row>
    <row r="56" spans="1:27" x14ac:dyDescent="0.2">
      <c r="A56" s="50" t="s">
        <v>343</v>
      </c>
      <c r="B56" s="5">
        <v>46129</v>
      </c>
      <c r="C56" t="s">
        <v>214</v>
      </c>
      <c r="D56" t="s">
        <v>549</v>
      </c>
      <c r="E56" t="s">
        <v>542</v>
      </c>
      <c r="F56">
        <v>2020</v>
      </c>
      <c r="G56" s="9">
        <v>13.29</v>
      </c>
      <c r="H56" s="9">
        <v>12.83</v>
      </c>
      <c r="I56" s="9">
        <v>13.79</v>
      </c>
      <c r="J56" s="9">
        <v>13.87</v>
      </c>
      <c r="K56" s="1" t="str">
        <f>IF(D56="A-Station",F56+3,"")</f>
        <v/>
      </c>
      <c r="L56" s="30" t="str">
        <f ca="1">IF(K56&lt;=YEAR(TODAY()),"!","")</f>
        <v/>
      </c>
      <c r="S56" s="14"/>
      <c r="T56" s="14"/>
      <c r="V56" s="9"/>
      <c r="W56" s="9"/>
      <c r="X56" s="9"/>
      <c r="Y56" s="9"/>
      <c r="Z56" s="4"/>
      <c r="AA56" s="14"/>
    </row>
    <row r="57" spans="1:27" x14ac:dyDescent="0.2">
      <c r="A57" s="50" t="s">
        <v>470</v>
      </c>
      <c r="B57" s="5">
        <v>46129</v>
      </c>
      <c r="C57" t="s">
        <v>214</v>
      </c>
      <c r="D57" t="s">
        <v>549</v>
      </c>
      <c r="E57" t="s">
        <v>542</v>
      </c>
      <c r="F57">
        <v>2020</v>
      </c>
      <c r="G57" s="9">
        <v>12</v>
      </c>
      <c r="H57" s="9">
        <v>18</v>
      </c>
      <c r="I57" s="9">
        <v>14.03</v>
      </c>
      <c r="J57" s="9">
        <v>11.63</v>
      </c>
      <c r="R57" s="14"/>
      <c r="S57" s="14"/>
      <c r="T57" s="14"/>
      <c r="V57" s="9"/>
      <c r="W57" s="9"/>
      <c r="X57" s="9"/>
      <c r="Y57" s="9"/>
      <c r="Z57" s="4"/>
      <c r="AA57" s="14"/>
    </row>
    <row r="58" spans="1:27" x14ac:dyDescent="0.2">
      <c r="A58" s="50">
        <v>202383</v>
      </c>
      <c r="B58" s="5">
        <v>46280</v>
      </c>
      <c r="C58" t="s">
        <v>214</v>
      </c>
      <c r="D58" t="s">
        <v>647</v>
      </c>
      <c r="E58" t="s">
        <v>648</v>
      </c>
      <c r="F58">
        <v>2023</v>
      </c>
      <c r="G58" s="9">
        <v>13.28</v>
      </c>
      <c r="H58" s="9">
        <v>12.87</v>
      </c>
      <c r="I58" s="9">
        <v>14.53</v>
      </c>
      <c r="J58" s="9">
        <v>11.45</v>
      </c>
      <c r="R58" s="14"/>
      <c r="S58" s="14"/>
      <c r="T58" s="14"/>
      <c r="V58" s="9"/>
      <c r="W58" s="9"/>
      <c r="X58" s="9"/>
      <c r="Y58" s="9"/>
      <c r="Z58" s="4"/>
      <c r="AA58" s="14"/>
    </row>
    <row r="59" spans="1:27" x14ac:dyDescent="0.2">
      <c r="A59" s="50" t="s">
        <v>587</v>
      </c>
      <c r="B59" s="5">
        <v>46128</v>
      </c>
      <c r="C59" t="s">
        <v>214</v>
      </c>
      <c r="D59" t="s">
        <v>549</v>
      </c>
      <c r="E59" s="4" t="s">
        <v>542</v>
      </c>
      <c r="F59">
        <v>2020</v>
      </c>
      <c r="G59" s="9">
        <v>15.32</v>
      </c>
      <c r="H59" s="9">
        <v>14.84</v>
      </c>
      <c r="I59" s="9">
        <v>10.51</v>
      </c>
      <c r="J59" s="9">
        <v>11.95</v>
      </c>
      <c r="K59" s="1" t="str">
        <f>IF(D59="A-Station",F59+3,"")</f>
        <v/>
      </c>
      <c r="L59" s="30" t="str">
        <f ca="1">IF(K59&lt;=YEAR(TODAY()),"!","")</f>
        <v/>
      </c>
      <c r="S59" s="14"/>
      <c r="T59" s="14"/>
      <c r="V59" s="9"/>
      <c r="W59" s="9"/>
      <c r="X59" s="9"/>
      <c r="Y59" s="9"/>
      <c r="Z59" s="4"/>
      <c r="AA59" s="14"/>
    </row>
    <row r="60" spans="1:27" x14ac:dyDescent="0.2">
      <c r="A60" s="14" t="s">
        <v>588</v>
      </c>
      <c r="B60" s="5">
        <v>45793</v>
      </c>
      <c r="C60" t="s">
        <v>214</v>
      </c>
      <c r="D60" t="s">
        <v>529</v>
      </c>
      <c r="E60" s="4" t="s">
        <v>190</v>
      </c>
      <c r="F60">
        <v>2025</v>
      </c>
      <c r="G60" s="9">
        <v>15.56</v>
      </c>
      <c r="H60" s="9">
        <v>16.559999999999999</v>
      </c>
      <c r="I60" s="9">
        <v>14.59</v>
      </c>
      <c r="J60" s="9">
        <v>14.64</v>
      </c>
      <c r="K60" s="1">
        <f>IF(D60="A-Station",F60+3,"")</f>
        <v>2028</v>
      </c>
      <c r="L60" s="30" t="str">
        <f ca="1">IF(K60&lt;=YEAR(TODAY()),"!","")</f>
        <v/>
      </c>
      <c r="S60" s="14"/>
      <c r="T60" s="14"/>
      <c r="V60" s="9"/>
      <c r="W60" s="9"/>
      <c r="X60" s="9"/>
      <c r="Y60" s="9"/>
      <c r="Z60" s="4"/>
      <c r="AA60" s="14"/>
    </row>
    <row r="61" spans="1:27" x14ac:dyDescent="0.2">
      <c r="A61" s="14" t="s">
        <v>589</v>
      </c>
      <c r="B61" s="5">
        <v>45941</v>
      </c>
      <c r="C61" t="s">
        <v>214</v>
      </c>
      <c r="D61" t="s">
        <v>529</v>
      </c>
      <c r="E61" s="4" t="s">
        <v>248</v>
      </c>
      <c r="F61">
        <v>2025</v>
      </c>
      <c r="G61" s="9">
        <v>13.37</v>
      </c>
      <c r="H61" s="9">
        <v>14.88</v>
      </c>
      <c r="I61" s="9">
        <v>12.8</v>
      </c>
      <c r="J61" s="9">
        <v>10.31</v>
      </c>
      <c r="K61" s="1">
        <f>IF(D61="A-Station",F61+3,"")</f>
        <v>2028</v>
      </c>
      <c r="L61" s="30" t="str">
        <f ca="1">IF(K61&lt;=YEAR(TODAY()),"!","")</f>
        <v/>
      </c>
    </row>
    <row r="62" spans="1:27" x14ac:dyDescent="0.2">
      <c r="A62" s="14" t="s">
        <v>337</v>
      </c>
      <c r="B62" s="5">
        <v>45815</v>
      </c>
      <c r="C62" t="s">
        <v>214</v>
      </c>
      <c r="D62" t="s">
        <v>529</v>
      </c>
      <c r="E62" s="4" t="s">
        <v>333</v>
      </c>
      <c r="F62">
        <v>2024</v>
      </c>
      <c r="G62" s="9">
        <v>14.63</v>
      </c>
      <c r="H62" s="9">
        <v>14.79</v>
      </c>
      <c r="I62" s="9">
        <v>11.77</v>
      </c>
      <c r="J62" s="9">
        <v>13.94</v>
      </c>
      <c r="K62" s="1">
        <f>IF(D62="A-Station",F62+3,"")</f>
        <v>2027</v>
      </c>
      <c r="L62" s="30" t="str">
        <f ca="1">IF(K62&lt;=YEAR(TODAY()),"!","")</f>
        <v/>
      </c>
    </row>
    <row r="63" spans="1:27" x14ac:dyDescent="0.2">
      <c r="A63" s="50" t="s">
        <v>423</v>
      </c>
      <c r="B63" s="5">
        <v>46280</v>
      </c>
      <c r="C63" t="s">
        <v>214</v>
      </c>
      <c r="D63" t="s">
        <v>647</v>
      </c>
      <c r="E63" s="4" t="s">
        <v>648</v>
      </c>
      <c r="F63">
        <v>2020</v>
      </c>
      <c r="G63" s="9">
        <v>15.72</v>
      </c>
      <c r="H63" s="9">
        <v>14.41</v>
      </c>
      <c r="I63" s="9">
        <v>11.08</v>
      </c>
      <c r="J63" s="9">
        <v>10.92</v>
      </c>
      <c r="K63" s="1" t="str">
        <f>IF(D63="A-Station",F63+3,"")</f>
        <v/>
      </c>
      <c r="L63" s="30" t="str">
        <f ca="1">IF(K63&lt;=YEAR(TODAY()),"!","")</f>
        <v/>
      </c>
    </row>
    <row r="64" spans="1:27" x14ac:dyDescent="0.2">
      <c r="A64" s="14" t="s">
        <v>590</v>
      </c>
      <c r="B64" s="5">
        <v>45902</v>
      </c>
      <c r="C64" t="s">
        <v>214</v>
      </c>
      <c r="D64" t="s">
        <v>560</v>
      </c>
      <c r="E64" s="4" t="s">
        <v>680</v>
      </c>
      <c r="F64">
        <v>2021</v>
      </c>
      <c r="G64" s="9">
        <v>14.08</v>
      </c>
      <c r="H64" s="9">
        <v>14.51</v>
      </c>
      <c r="I64" s="9">
        <v>15.14</v>
      </c>
      <c r="J64" s="9">
        <v>9.41</v>
      </c>
      <c r="K64" s="1" t="str">
        <f>IF(D64="A-Station",F64+3,"")</f>
        <v/>
      </c>
      <c r="L64" s="30" t="str">
        <f ca="1">IF(K64&lt;=YEAR(TODAY()),"!","")</f>
        <v/>
      </c>
    </row>
    <row r="65" spans="1:16" x14ac:dyDescent="0.2">
      <c r="A65" s="14" t="s">
        <v>506</v>
      </c>
      <c r="B65" s="5">
        <v>45819</v>
      </c>
      <c r="C65" t="s">
        <v>214</v>
      </c>
      <c r="D65" t="s">
        <v>529</v>
      </c>
      <c r="E65" s="4" t="s">
        <v>141</v>
      </c>
      <c r="F65">
        <v>2025</v>
      </c>
      <c r="G65" s="9">
        <v>14.56</v>
      </c>
      <c r="H65" s="9">
        <v>14.29</v>
      </c>
      <c r="I65" s="9">
        <v>9.51</v>
      </c>
      <c r="J65" s="9">
        <v>8.81</v>
      </c>
      <c r="K65" s="1">
        <f>IF(D65="A-Station",F65+3,"")</f>
        <v>2028</v>
      </c>
      <c r="L65" s="30" t="str">
        <f ca="1">IF(K65&lt;=YEAR(TODAY()),"!","")</f>
        <v/>
      </c>
    </row>
    <row r="66" spans="1:16" x14ac:dyDescent="0.2">
      <c r="A66" s="26" t="s">
        <v>409</v>
      </c>
      <c r="B66" s="5">
        <v>46070</v>
      </c>
      <c r="C66" t="s">
        <v>214</v>
      </c>
      <c r="D66" t="s">
        <v>529</v>
      </c>
      <c r="E66" s="4" t="s">
        <v>273</v>
      </c>
      <c r="F66">
        <v>2026</v>
      </c>
      <c r="G66" s="9">
        <v>14.41</v>
      </c>
      <c r="H66" s="9">
        <v>13.19</v>
      </c>
      <c r="I66" s="9">
        <v>10.4</v>
      </c>
      <c r="J66" s="9">
        <v>11.29</v>
      </c>
      <c r="K66" s="1">
        <f>IF(D66="A-Station",F66+3,"")</f>
        <v>2029</v>
      </c>
      <c r="L66" s="30" t="str">
        <f ca="1">IF(K66&lt;=YEAR(TODAY()),"!","")</f>
        <v/>
      </c>
    </row>
    <row r="67" spans="1:16" x14ac:dyDescent="0.2">
      <c r="A67" s="26" t="s">
        <v>591</v>
      </c>
      <c r="B67" s="5">
        <v>45918</v>
      </c>
      <c r="C67" t="s">
        <v>214</v>
      </c>
      <c r="D67" t="s">
        <v>529</v>
      </c>
      <c r="E67" s="4" t="s">
        <v>416</v>
      </c>
      <c r="F67">
        <v>2023</v>
      </c>
      <c r="G67" s="9">
        <v>14.26</v>
      </c>
      <c r="H67" s="9">
        <v>14.13</v>
      </c>
      <c r="I67" s="9">
        <v>10.34</v>
      </c>
      <c r="J67" s="9">
        <v>11.55</v>
      </c>
      <c r="K67" s="1">
        <f>IF(D67="A-Station",F67+3,"")</f>
        <v>2026</v>
      </c>
      <c r="L67" s="30" t="str">
        <f ca="1">IF(K67&lt;=YEAR(TODAY()),"!","")</f>
        <v>!</v>
      </c>
      <c r="O67" s="15"/>
      <c r="P67" s="14"/>
    </row>
    <row r="68" spans="1:16" x14ac:dyDescent="0.2">
      <c r="A68" s="26" t="s">
        <v>165</v>
      </c>
      <c r="B68" s="5">
        <v>46224</v>
      </c>
      <c r="C68" t="s">
        <v>214</v>
      </c>
      <c r="D68" t="s">
        <v>529</v>
      </c>
      <c r="E68" s="4" t="s">
        <v>162</v>
      </c>
      <c r="F68">
        <v>2026</v>
      </c>
      <c r="G68" s="9">
        <v>12.37</v>
      </c>
      <c r="H68" s="9">
        <v>13.64</v>
      </c>
      <c r="I68" s="9">
        <v>9.89</v>
      </c>
      <c r="J68" s="9">
        <v>12.22</v>
      </c>
      <c r="K68" s="1">
        <f>IF(D68="A-Station",F68+3,"")</f>
        <v>2029</v>
      </c>
      <c r="L68" s="30" t="str">
        <f ca="1">IF(K68&lt;=YEAR(TODAY()),"!","")</f>
        <v/>
      </c>
      <c r="O68" s="15"/>
      <c r="P68" s="14"/>
    </row>
    <row r="69" spans="1:16" x14ac:dyDescent="0.2">
      <c r="A69" s="26" t="s">
        <v>244</v>
      </c>
      <c r="B69" s="5">
        <v>46133</v>
      </c>
      <c r="C69" t="s">
        <v>214</v>
      </c>
      <c r="D69" s="14" t="s">
        <v>529</v>
      </c>
      <c r="E69" t="s">
        <v>592</v>
      </c>
      <c r="F69">
        <v>2023</v>
      </c>
      <c r="G69" s="9">
        <v>13.22</v>
      </c>
      <c r="H69" s="9">
        <v>11.51</v>
      </c>
      <c r="I69" s="9">
        <v>10.53</v>
      </c>
      <c r="J69" s="9">
        <v>9.9600000000000009</v>
      </c>
    </row>
    <row r="70" spans="1:16" x14ac:dyDescent="0.2">
      <c r="A70" s="14" t="s">
        <v>593</v>
      </c>
      <c r="B70" s="5">
        <v>46084</v>
      </c>
      <c r="C70" t="s">
        <v>214</v>
      </c>
      <c r="D70" t="s">
        <v>541</v>
      </c>
      <c r="E70" s="4" t="s">
        <v>542</v>
      </c>
      <c r="F70">
        <v>2026</v>
      </c>
      <c r="G70" s="9">
        <v>14.86</v>
      </c>
      <c r="H70" s="9">
        <v>12.77</v>
      </c>
      <c r="I70" s="9">
        <v>10.89</v>
      </c>
      <c r="J70" s="9">
        <v>11.7</v>
      </c>
      <c r="K70" s="1" t="str">
        <f>IF(D70="A-Station",F70+3,"")</f>
        <v/>
      </c>
      <c r="L70" s="30" t="str">
        <f ca="1">IF(K70&lt;=YEAR(TODAY()),"!","")</f>
        <v/>
      </c>
    </row>
    <row r="71" spans="1:16" x14ac:dyDescent="0.2">
      <c r="A71" s="14" t="s">
        <v>594</v>
      </c>
      <c r="B71" s="5">
        <v>46280</v>
      </c>
      <c r="C71" t="s">
        <v>214</v>
      </c>
      <c r="D71" t="s">
        <v>529</v>
      </c>
      <c r="E71" s="4" t="s">
        <v>655</v>
      </c>
      <c r="F71">
        <v>2026</v>
      </c>
      <c r="G71" s="9">
        <v>15.76</v>
      </c>
      <c r="H71" s="9">
        <v>12.25</v>
      </c>
      <c r="I71" s="9">
        <v>10.81</v>
      </c>
      <c r="J71" s="9">
        <v>11.19</v>
      </c>
      <c r="K71" s="1">
        <f>IF(D71="A-Station",F71+3,"")</f>
        <v>2029</v>
      </c>
      <c r="L71" s="30" t="str">
        <f ca="1">IF(K71&lt;=YEAR(TODAY()),"!","")</f>
        <v/>
      </c>
      <c r="O71" s="6"/>
    </row>
    <row r="72" spans="1:16" x14ac:dyDescent="0.2">
      <c r="A72" s="26" t="s">
        <v>497</v>
      </c>
      <c r="B72" s="5">
        <v>46129</v>
      </c>
      <c r="C72" t="s">
        <v>214</v>
      </c>
      <c r="D72" s="14" t="s">
        <v>537</v>
      </c>
      <c r="E72" t="s">
        <v>564</v>
      </c>
      <c r="F72">
        <v>2024</v>
      </c>
      <c r="G72">
        <v>12.99</v>
      </c>
      <c r="H72" s="9">
        <v>13.14</v>
      </c>
      <c r="I72" s="9">
        <v>11.02</v>
      </c>
      <c r="J72" s="9">
        <v>9.75</v>
      </c>
      <c r="M72" t="s">
        <v>596</v>
      </c>
      <c r="O72" s="6"/>
    </row>
    <row r="73" spans="1:16" x14ac:dyDescent="0.2">
      <c r="A73" s="26" t="s">
        <v>597</v>
      </c>
      <c r="B73" s="5">
        <v>45821</v>
      </c>
      <c r="C73" t="s">
        <v>214</v>
      </c>
      <c r="D73" t="s">
        <v>529</v>
      </c>
      <c r="E73" s="4" t="s">
        <v>152</v>
      </c>
      <c r="F73">
        <v>2025</v>
      </c>
      <c r="G73" s="9">
        <v>15.43</v>
      </c>
      <c r="H73" s="9">
        <v>11.37</v>
      </c>
      <c r="I73" s="9">
        <v>11.39</v>
      </c>
      <c r="J73" s="9">
        <v>11.06</v>
      </c>
      <c r="K73" s="1">
        <f>IF(D73="A-Station",F73+3,"")</f>
        <v>2028</v>
      </c>
      <c r="L73" s="30" t="str">
        <f ca="1">IF(K73&lt;=YEAR(TODAY()),"!","")</f>
        <v/>
      </c>
      <c r="O73" s="6"/>
    </row>
    <row r="74" spans="1:16" x14ac:dyDescent="0.2">
      <c r="A74" s="26">
        <v>213148</v>
      </c>
      <c r="B74" s="5">
        <v>46070</v>
      </c>
      <c r="C74" t="s">
        <v>214</v>
      </c>
      <c r="D74" t="s">
        <v>529</v>
      </c>
      <c r="E74" s="4" t="s">
        <v>598</v>
      </c>
      <c r="F74">
        <v>2026</v>
      </c>
      <c r="G74" s="9">
        <v>12.1</v>
      </c>
      <c r="H74" s="9">
        <v>12.01</v>
      </c>
      <c r="I74" s="9">
        <v>9.08</v>
      </c>
      <c r="J74" s="9">
        <v>10.57</v>
      </c>
      <c r="K74" s="1">
        <f>IF(D74="A-Station",F74+3,"")</f>
        <v>2029</v>
      </c>
      <c r="L74" s="30" t="str">
        <f ca="1">IF(K74&lt;=YEAR(TODAY()),"!","")</f>
        <v/>
      </c>
      <c r="O74" s="6"/>
    </row>
    <row r="75" spans="1:16" x14ac:dyDescent="0.2">
      <c r="A75" s="26">
        <v>213149</v>
      </c>
      <c r="B75" s="5">
        <v>45459</v>
      </c>
      <c r="C75" t="s">
        <v>214</v>
      </c>
      <c r="D75" t="s">
        <v>529</v>
      </c>
      <c r="E75" t="s">
        <v>89</v>
      </c>
      <c r="F75">
        <v>2021</v>
      </c>
      <c r="G75" s="9">
        <v>11.09</v>
      </c>
      <c r="H75" s="9">
        <v>12.61</v>
      </c>
      <c r="I75" s="9">
        <v>7.83</v>
      </c>
      <c r="J75" s="9">
        <v>9.6300000000000008</v>
      </c>
      <c r="K75" s="1">
        <f>IF(D75="A-Station",F75+3,"")</f>
        <v>2024</v>
      </c>
      <c r="L75" s="30" t="str">
        <f ca="1">IF(K75&lt;=YEAR(TODAY()),"!","")</f>
        <v>!</v>
      </c>
    </row>
    <row r="76" spans="1:16" x14ac:dyDescent="0.2">
      <c r="A76" s="26" t="s">
        <v>599</v>
      </c>
      <c r="B76" s="5">
        <v>46244</v>
      </c>
      <c r="C76" t="s">
        <v>214</v>
      </c>
      <c r="D76" t="s">
        <v>529</v>
      </c>
      <c r="E76" s="4" t="s">
        <v>600</v>
      </c>
      <c r="F76">
        <v>2026</v>
      </c>
      <c r="G76" s="9">
        <v>13.35</v>
      </c>
      <c r="H76" s="9">
        <v>11.8</v>
      </c>
      <c r="I76" s="9">
        <v>9.4</v>
      </c>
      <c r="J76" s="9">
        <v>9.7100000000000009</v>
      </c>
      <c r="K76" s="1">
        <f>IF(D76="A-Station",F76+3,"")</f>
        <v>2029</v>
      </c>
      <c r="L76" s="30" t="str">
        <f ca="1">IF(K76&lt;=YEAR(TODAY()),"!","")</f>
        <v/>
      </c>
    </row>
    <row r="77" spans="1:16" x14ac:dyDescent="0.2">
      <c r="A77" s="26" t="s">
        <v>484</v>
      </c>
      <c r="B77" s="5">
        <v>46128</v>
      </c>
      <c r="C77" t="s">
        <v>214</v>
      </c>
      <c r="D77" t="s">
        <v>585</v>
      </c>
      <c r="E77" s="4" t="s">
        <v>662</v>
      </c>
      <c r="F77">
        <v>2026</v>
      </c>
      <c r="G77" s="9">
        <v>12.5</v>
      </c>
      <c r="H77" s="9">
        <v>12.21</v>
      </c>
      <c r="I77" s="9">
        <v>9.19</v>
      </c>
      <c r="J77" s="9">
        <v>9.6300000000000008</v>
      </c>
      <c r="K77" s="1" t="str">
        <f>IF(D77="A-Station",F77+3,"")</f>
        <v/>
      </c>
      <c r="L77" s="30" t="str">
        <f ca="1">IF(K77&lt;=YEAR(TODAY()),"!","")</f>
        <v/>
      </c>
    </row>
    <row r="78" spans="1:16" x14ac:dyDescent="0.2">
      <c r="A78" s="26">
        <v>213250</v>
      </c>
      <c r="B78" s="5">
        <v>46224</v>
      </c>
      <c r="C78" t="s">
        <v>214</v>
      </c>
      <c r="D78" t="s">
        <v>560</v>
      </c>
      <c r="E78" s="4" t="s">
        <v>662</v>
      </c>
      <c r="F78">
        <v>2023</v>
      </c>
      <c r="G78" s="9">
        <v>10.130000000000001</v>
      </c>
      <c r="H78" s="9">
        <v>14.11</v>
      </c>
      <c r="I78" s="9">
        <v>9.92</v>
      </c>
      <c r="J78" s="9">
        <v>13.96</v>
      </c>
      <c r="K78" s="1" t="str">
        <f>IF(D78="A-Station",F78+3,"")</f>
        <v/>
      </c>
      <c r="L78" s="30" t="str">
        <f ca="1">IF(K78&lt;=YEAR(TODAY()),"!","")</f>
        <v/>
      </c>
    </row>
    <row r="79" spans="1:16" x14ac:dyDescent="0.2">
      <c r="A79" s="26" t="s">
        <v>601</v>
      </c>
      <c r="B79" s="5">
        <v>46158</v>
      </c>
      <c r="C79" t="s">
        <v>214</v>
      </c>
      <c r="D79" t="s">
        <v>529</v>
      </c>
      <c r="E79" s="4" t="s">
        <v>602</v>
      </c>
      <c r="F79">
        <v>2026</v>
      </c>
      <c r="G79" s="9">
        <v>11.52</v>
      </c>
      <c r="H79" s="9">
        <v>13.06</v>
      </c>
      <c r="I79" s="9">
        <v>9.1999999999999993</v>
      </c>
      <c r="J79" s="9">
        <v>10.53</v>
      </c>
      <c r="K79" s="1">
        <f>IF(D79="A-Station",F79+3,"")</f>
        <v>2029</v>
      </c>
      <c r="L79" s="30" t="str">
        <f ca="1">IF(K79&lt;=YEAR(TODAY()),"!","")</f>
        <v/>
      </c>
    </row>
    <row r="80" spans="1:16" x14ac:dyDescent="0.2">
      <c r="A80" s="14" t="s">
        <v>603</v>
      </c>
      <c r="B80" s="5">
        <v>46281</v>
      </c>
      <c r="C80" t="s">
        <v>214</v>
      </c>
      <c r="D80" t="s">
        <v>529</v>
      </c>
      <c r="E80" s="4" t="s">
        <v>283</v>
      </c>
      <c r="F80">
        <v>2026</v>
      </c>
      <c r="G80" s="9">
        <v>13.86</v>
      </c>
      <c r="H80" s="9">
        <v>14.68</v>
      </c>
      <c r="I80" s="9">
        <v>9.4700000000000006</v>
      </c>
      <c r="J80" s="9">
        <v>9.81</v>
      </c>
      <c r="K80" s="1">
        <f>IF(D80="A-Station",F80+3,"")</f>
        <v>2029</v>
      </c>
      <c r="L80" s="30" t="str">
        <f ca="1">IF(K80&lt;=YEAR(TODAY()),"!","")</f>
        <v/>
      </c>
    </row>
    <row r="81" spans="1:28" x14ac:dyDescent="0.2">
      <c r="A81" s="50" t="s">
        <v>120</v>
      </c>
      <c r="B81" s="5">
        <v>46226</v>
      </c>
      <c r="C81" t="s">
        <v>214</v>
      </c>
      <c r="D81" s="14" t="s">
        <v>529</v>
      </c>
      <c r="E81" s="4" t="s">
        <v>116</v>
      </c>
      <c r="F81">
        <v>2026</v>
      </c>
      <c r="G81" s="9">
        <v>13.07</v>
      </c>
      <c r="H81" s="9">
        <v>13.3</v>
      </c>
      <c r="I81" s="9">
        <v>9.8699999999999992</v>
      </c>
      <c r="J81" s="9">
        <v>8.86</v>
      </c>
      <c r="K81" s="1">
        <f>IF(D81="A-Station",F81+3,"")</f>
        <v>2029</v>
      </c>
      <c r="L81" s="30" t="str">
        <f ca="1">IF(K81&lt;=YEAR(TODAY()),"!","")</f>
        <v/>
      </c>
    </row>
    <row r="82" spans="1:28" x14ac:dyDescent="0.2">
      <c r="A82" s="14" t="s">
        <v>224</v>
      </c>
      <c r="B82" s="5">
        <v>45769</v>
      </c>
      <c r="C82" t="s">
        <v>214</v>
      </c>
      <c r="D82" t="s">
        <v>529</v>
      </c>
      <c r="E82" t="s">
        <v>219</v>
      </c>
      <c r="F82">
        <v>2021</v>
      </c>
      <c r="G82" s="9">
        <v>12.94</v>
      </c>
      <c r="H82" s="9">
        <v>12.94</v>
      </c>
      <c r="I82" s="9">
        <v>8.51</v>
      </c>
      <c r="J82" s="9">
        <v>10.59</v>
      </c>
      <c r="K82" s="1">
        <f>IF(D82="A-Station",F82+3,"")</f>
        <v>2024</v>
      </c>
      <c r="L82" s="30" t="str">
        <f ca="1">IF(K82&lt;=YEAR(TODAY()),"!","")</f>
        <v>!</v>
      </c>
    </row>
    <row r="83" spans="1:28" x14ac:dyDescent="0.2">
      <c r="A83" s="14" t="s">
        <v>199</v>
      </c>
      <c r="B83" s="5">
        <v>46224</v>
      </c>
      <c r="C83" t="s">
        <v>214</v>
      </c>
      <c r="D83" s="14" t="s">
        <v>529</v>
      </c>
      <c r="E83" t="s">
        <v>197</v>
      </c>
      <c r="F83">
        <v>2026</v>
      </c>
      <c r="G83" s="9">
        <v>12.5</v>
      </c>
      <c r="H83" s="9">
        <v>12.21</v>
      </c>
      <c r="I83" s="9">
        <v>9.19</v>
      </c>
      <c r="J83" s="9">
        <v>9.6300000000000008</v>
      </c>
      <c r="K83" s="1">
        <f>IF(D83="A-Station",F83+3,"")</f>
        <v>2029</v>
      </c>
      <c r="L83" s="30" t="str">
        <f ca="1">IF(K83&lt;=YEAR(TODAY()),"!","")</f>
        <v/>
      </c>
      <c r="S83" s="14"/>
      <c r="T83" s="14"/>
      <c r="V83" s="9"/>
      <c r="W83" s="9"/>
      <c r="X83" s="9"/>
      <c r="Y83" s="9"/>
      <c r="Z83" s="15"/>
      <c r="AA83" s="14"/>
    </row>
    <row r="84" spans="1:28" x14ac:dyDescent="0.2">
      <c r="A84" s="50" t="s">
        <v>604</v>
      </c>
      <c r="B84" s="5">
        <v>46224</v>
      </c>
      <c r="C84" t="s">
        <v>214</v>
      </c>
      <c r="D84" t="s">
        <v>560</v>
      </c>
      <c r="E84" s="4" t="s">
        <v>662</v>
      </c>
      <c r="F84">
        <v>2025</v>
      </c>
      <c r="G84" s="9">
        <v>10.99</v>
      </c>
      <c r="H84" s="9">
        <v>13.25</v>
      </c>
      <c r="I84" s="9">
        <v>10.47</v>
      </c>
      <c r="J84" s="9">
        <v>8.93</v>
      </c>
      <c r="K84" s="1" t="str">
        <f>IF(D84="A-Station",F84+3,"")</f>
        <v/>
      </c>
      <c r="L84" s="30" t="str">
        <f ca="1">IF(K84&lt;=YEAR(TODAY()),"!","")</f>
        <v/>
      </c>
      <c r="S84" s="17"/>
      <c r="T84" s="17"/>
      <c r="U84" s="18"/>
      <c r="V84" s="18"/>
      <c r="W84" s="18"/>
      <c r="X84" s="18"/>
      <c r="Y84" s="18"/>
      <c r="Z84" s="18"/>
      <c r="AA84" s="18"/>
      <c r="AB84" s="18"/>
    </row>
    <row r="85" spans="1:28" x14ac:dyDescent="0.2">
      <c r="A85" s="14" t="s">
        <v>348</v>
      </c>
      <c r="B85" s="5">
        <v>45815</v>
      </c>
      <c r="C85" t="s">
        <v>214</v>
      </c>
      <c r="D85" t="s">
        <v>529</v>
      </c>
      <c r="E85" s="4" t="s">
        <v>345</v>
      </c>
      <c r="F85">
        <v>2025</v>
      </c>
      <c r="G85" s="9">
        <v>13.65</v>
      </c>
      <c r="H85" s="9">
        <v>13.09</v>
      </c>
      <c r="I85" s="9">
        <v>9.1</v>
      </c>
      <c r="J85" s="9">
        <v>8.69</v>
      </c>
      <c r="K85" s="1">
        <f>IF(D85="A-Station",F85+3,"")</f>
        <v>2028</v>
      </c>
      <c r="L85" s="30" t="str">
        <f ca="1">IF(K85&lt;=YEAR(TODAY()),"!","")</f>
        <v/>
      </c>
      <c r="S85" s="14"/>
      <c r="T85" s="14"/>
      <c r="V85" s="9"/>
      <c r="W85" s="9"/>
      <c r="X85" s="9"/>
      <c r="Y85" s="9"/>
      <c r="Z85" s="15"/>
      <c r="AA85" s="14"/>
    </row>
    <row r="86" spans="1:28" x14ac:dyDescent="0.2">
      <c r="A86" s="14" t="s">
        <v>406</v>
      </c>
      <c r="B86" s="5">
        <v>46158</v>
      </c>
      <c r="C86" t="s">
        <v>214</v>
      </c>
      <c r="D86" t="s">
        <v>529</v>
      </c>
      <c r="E86" s="4" t="s">
        <v>605</v>
      </c>
      <c r="F86">
        <v>2026</v>
      </c>
      <c r="G86" s="9">
        <v>13.61</v>
      </c>
      <c r="H86" s="9">
        <v>12.65</v>
      </c>
      <c r="I86" s="9">
        <v>9.2799999999999994</v>
      </c>
      <c r="J86" s="9">
        <v>9.76</v>
      </c>
      <c r="K86" s="1">
        <f>IF(D86="A-Station",F86+3,"")</f>
        <v>2029</v>
      </c>
      <c r="L86" s="30" t="str">
        <f ca="1">IF(K86&lt;=YEAR(TODAY()),"!","")</f>
        <v/>
      </c>
      <c r="S86" s="14"/>
      <c r="T86" s="14"/>
      <c r="V86" s="9"/>
      <c r="W86" s="9"/>
      <c r="X86" s="9"/>
      <c r="Y86" s="9"/>
      <c r="Z86" s="20"/>
      <c r="AA86" s="14"/>
    </row>
    <row r="87" spans="1:28" x14ac:dyDescent="0.2">
      <c r="A87" s="50" t="s">
        <v>115</v>
      </c>
      <c r="B87" s="5">
        <v>46226</v>
      </c>
      <c r="C87" t="s">
        <v>214</v>
      </c>
      <c r="D87" s="14" t="s">
        <v>529</v>
      </c>
      <c r="E87" s="4" t="s">
        <v>112</v>
      </c>
      <c r="F87">
        <v>2026</v>
      </c>
      <c r="G87" s="9">
        <v>12.51</v>
      </c>
      <c r="H87" s="9">
        <v>13.15</v>
      </c>
      <c r="I87" s="9">
        <v>9.94</v>
      </c>
      <c r="J87" s="9">
        <v>8.92</v>
      </c>
      <c r="K87" s="1">
        <f>IF(D87="A-Station",F87+3,"")</f>
        <v>2029</v>
      </c>
      <c r="L87" s="30" t="str">
        <f ca="1">IF(K87&lt;=YEAR(TODAY()),"!","")</f>
        <v/>
      </c>
      <c r="S87" s="14"/>
      <c r="T87" s="14"/>
      <c r="V87" s="9"/>
      <c r="W87" s="9"/>
      <c r="X87" s="9"/>
      <c r="Y87" s="9"/>
      <c r="Z87" s="20"/>
      <c r="AA87" s="14"/>
    </row>
    <row r="88" spans="1:28" x14ac:dyDescent="0.2">
      <c r="A88" s="14" t="s">
        <v>606</v>
      </c>
      <c r="B88" s="5">
        <v>45456</v>
      </c>
      <c r="C88" t="s">
        <v>214</v>
      </c>
      <c r="D88" t="s">
        <v>529</v>
      </c>
      <c r="E88" s="4" t="s">
        <v>121</v>
      </c>
      <c r="F88">
        <v>2021</v>
      </c>
      <c r="G88" s="9">
        <v>13.57</v>
      </c>
      <c r="H88" s="9">
        <v>13.31</v>
      </c>
      <c r="I88" s="9">
        <v>10.28</v>
      </c>
      <c r="J88" s="9">
        <v>10.78</v>
      </c>
      <c r="K88" s="1">
        <f>IF(D88="A-Station",F88+3,"")</f>
        <v>2024</v>
      </c>
      <c r="L88" s="30" t="str">
        <f ca="1">IF(K88&lt;=YEAR(TODAY()),"!","")</f>
        <v>!</v>
      </c>
      <c r="S88" s="14"/>
      <c r="T88" s="14"/>
      <c r="V88" s="9"/>
      <c r="W88" s="9"/>
      <c r="X88" s="9"/>
      <c r="Y88" s="9"/>
      <c r="Z88" s="15"/>
      <c r="AA88" s="14"/>
    </row>
    <row r="89" spans="1:28" x14ac:dyDescent="0.2">
      <c r="A89" s="50" t="s">
        <v>489</v>
      </c>
      <c r="B89" s="5">
        <v>46158</v>
      </c>
      <c r="C89" t="s">
        <v>214</v>
      </c>
      <c r="D89" t="s">
        <v>560</v>
      </c>
      <c r="E89" t="s">
        <v>661</v>
      </c>
      <c r="F89">
        <v>2022</v>
      </c>
      <c r="G89" s="9">
        <v>12.44</v>
      </c>
      <c r="H89" s="9">
        <v>14.19</v>
      </c>
      <c r="I89" s="9">
        <v>9.26</v>
      </c>
      <c r="J89" s="9">
        <v>9.42</v>
      </c>
      <c r="K89" s="1" t="str">
        <f>IF(D89="A-Station",F89+3,"")</f>
        <v/>
      </c>
      <c r="L89" s="30" t="str">
        <f ca="1">IF(K89&lt;=YEAR(TODAY()),"!","")</f>
        <v/>
      </c>
      <c r="M89" t="s">
        <v>578</v>
      </c>
      <c r="S89" s="14"/>
      <c r="T89" s="14"/>
      <c r="Z89" s="15"/>
      <c r="AA89" s="14"/>
    </row>
    <row r="90" spans="1:28" x14ac:dyDescent="0.2">
      <c r="A90" s="14" t="s">
        <v>607</v>
      </c>
      <c r="B90" s="5">
        <v>46128</v>
      </c>
      <c r="C90" s="14" t="s">
        <v>214</v>
      </c>
      <c r="D90" t="s">
        <v>529</v>
      </c>
      <c r="E90" t="s">
        <v>448</v>
      </c>
      <c r="F90">
        <v>2021</v>
      </c>
      <c r="G90" s="9">
        <v>13.52</v>
      </c>
      <c r="H90" s="9">
        <v>12.87</v>
      </c>
      <c r="I90" s="9">
        <v>14.55</v>
      </c>
      <c r="J90" s="9">
        <v>8.59</v>
      </c>
      <c r="K90" s="1">
        <f>IF(D90="A-Station",F90+3,"")</f>
        <v>2024</v>
      </c>
      <c r="L90" s="30" t="str">
        <f ca="1">IF(K90&lt;=YEAR(TODAY()),"!","")</f>
        <v>!</v>
      </c>
      <c r="S90" s="14"/>
      <c r="T90" s="14"/>
      <c r="V90" s="9"/>
      <c r="W90" s="9"/>
      <c r="X90" s="9"/>
      <c r="Y90" s="9"/>
      <c r="Z90" s="19"/>
      <c r="AA90" s="14"/>
    </row>
    <row r="91" spans="1:28" x14ac:dyDescent="0.2">
      <c r="A91" s="50">
        <v>233747</v>
      </c>
      <c r="B91" s="5">
        <v>46270</v>
      </c>
      <c r="C91" t="s">
        <v>214</v>
      </c>
      <c r="D91" t="s">
        <v>647</v>
      </c>
      <c r="E91" t="s">
        <v>648</v>
      </c>
      <c r="F91">
        <v>2023</v>
      </c>
      <c r="G91" s="9">
        <v>12.41</v>
      </c>
      <c r="H91" s="9">
        <v>11.04</v>
      </c>
      <c r="I91" s="9">
        <v>9.64</v>
      </c>
      <c r="J91" s="9">
        <v>9.94</v>
      </c>
      <c r="K91" s="1" t="str">
        <f>IF(D91="A-Station",F91+3,"")</f>
        <v/>
      </c>
      <c r="L91" s="30" t="str">
        <f ca="1">IF(K91&lt;=YEAR(TODAY()),"!","")</f>
        <v/>
      </c>
      <c r="S91" s="14"/>
      <c r="T91" s="14"/>
      <c r="V91" s="9"/>
      <c r="W91" s="9"/>
      <c r="X91" s="9"/>
      <c r="Y91" s="9"/>
      <c r="Z91" s="15"/>
      <c r="AA91" s="14"/>
    </row>
    <row r="92" spans="1:28" x14ac:dyDescent="0.2">
      <c r="A92" s="14" t="s">
        <v>608</v>
      </c>
      <c r="B92" s="5">
        <v>46128</v>
      </c>
      <c r="C92" s="14" t="s">
        <v>214</v>
      </c>
      <c r="D92" t="s">
        <v>529</v>
      </c>
      <c r="E92" t="s">
        <v>444</v>
      </c>
      <c r="F92">
        <v>2021</v>
      </c>
      <c r="G92" s="9">
        <v>12.96</v>
      </c>
      <c r="H92" s="9">
        <v>13.34</v>
      </c>
      <c r="I92" s="9">
        <v>9.67</v>
      </c>
      <c r="J92" s="9">
        <v>9.09</v>
      </c>
      <c r="K92" s="1">
        <f>IF(D92="A-Station",F92+3,"")</f>
        <v>2024</v>
      </c>
      <c r="L92" s="30" t="str">
        <f ca="1">IF(K92&lt;=YEAR(TODAY()),"!","")</f>
        <v>!</v>
      </c>
      <c r="S92" s="14"/>
      <c r="T92" s="14"/>
      <c r="V92" s="9"/>
      <c r="W92" s="9"/>
      <c r="X92" s="9"/>
      <c r="Y92" s="9"/>
      <c r="Z92" s="15"/>
      <c r="AA92" s="14"/>
    </row>
    <row r="93" spans="1:28" x14ac:dyDescent="0.2">
      <c r="A93" s="14" t="s">
        <v>158</v>
      </c>
      <c r="B93" s="5">
        <v>46224</v>
      </c>
      <c r="C93" t="s">
        <v>214</v>
      </c>
      <c r="D93" t="s">
        <v>529</v>
      </c>
      <c r="E93" s="4" t="s">
        <v>154</v>
      </c>
      <c r="F93">
        <v>2026</v>
      </c>
      <c r="G93" s="9">
        <v>11.92</v>
      </c>
      <c r="H93" s="9">
        <v>12.69</v>
      </c>
      <c r="I93" s="9">
        <v>9.31</v>
      </c>
      <c r="J93" s="9">
        <v>8.8000000000000007</v>
      </c>
      <c r="K93" s="1">
        <f>IF(D93="A-Station",F93+3,"")</f>
        <v>2029</v>
      </c>
      <c r="L93" s="30" t="str">
        <f ca="1">IF(K93&lt;=YEAR(TODAY()),"!","")</f>
        <v/>
      </c>
      <c r="S93" s="14"/>
      <c r="T93" s="14"/>
      <c r="V93" s="9"/>
      <c r="W93" s="9"/>
      <c r="X93" s="9"/>
      <c r="Y93" s="9"/>
      <c r="Z93" s="15"/>
      <c r="AA93" s="14"/>
    </row>
    <row r="94" spans="1:28" x14ac:dyDescent="0.2">
      <c r="A94" s="14" t="s">
        <v>609</v>
      </c>
      <c r="B94" s="5">
        <v>45822</v>
      </c>
      <c r="C94" t="s">
        <v>214</v>
      </c>
      <c r="D94" t="s">
        <v>529</v>
      </c>
      <c r="E94" s="4" t="s">
        <v>103</v>
      </c>
      <c r="F94">
        <v>2024</v>
      </c>
      <c r="G94" s="9">
        <v>13.74</v>
      </c>
      <c r="H94" s="9">
        <v>14.34</v>
      </c>
      <c r="I94" s="9">
        <v>7.72</v>
      </c>
      <c r="J94" s="9">
        <v>11.44</v>
      </c>
      <c r="K94" s="1">
        <f>IF(D94="A-Station",F94+3,"")</f>
        <v>2027</v>
      </c>
      <c r="L94" s="30" t="str">
        <f ca="1">IF(K94&lt;=YEAR(TODAY()),"!","")</f>
        <v/>
      </c>
      <c r="S94" s="14"/>
      <c r="T94" s="14"/>
      <c r="V94" s="9"/>
      <c r="W94" s="9"/>
      <c r="X94" s="9"/>
      <c r="Y94" s="9"/>
      <c r="Z94" s="15"/>
      <c r="AA94" s="14"/>
    </row>
    <row r="95" spans="1:28" x14ac:dyDescent="0.2">
      <c r="A95" s="26" t="s">
        <v>260</v>
      </c>
      <c r="B95" s="5">
        <v>45908</v>
      </c>
      <c r="C95" t="s">
        <v>214</v>
      </c>
      <c r="D95" t="s">
        <v>529</v>
      </c>
      <c r="E95" t="s">
        <v>256</v>
      </c>
      <c r="F95">
        <v>2024</v>
      </c>
      <c r="G95" s="9">
        <v>14.47</v>
      </c>
      <c r="H95" s="9">
        <v>14.73</v>
      </c>
      <c r="I95" s="9">
        <v>10.46</v>
      </c>
      <c r="J95" s="9">
        <v>10.43</v>
      </c>
      <c r="K95" s="1">
        <f>IF(D95="A-Station",F95+3,"")</f>
        <v>2027</v>
      </c>
      <c r="L95" s="30" t="str">
        <f ca="1">IF(K95&lt;=YEAR(TODAY()),"!","")</f>
        <v/>
      </c>
      <c r="S95" s="14"/>
      <c r="T95" s="14"/>
      <c r="V95" s="9"/>
      <c r="W95" s="9"/>
      <c r="X95" s="9"/>
      <c r="Y95" s="9"/>
      <c r="Z95" s="15"/>
      <c r="AA95" s="14"/>
    </row>
    <row r="96" spans="1:28" x14ac:dyDescent="0.2">
      <c r="A96" s="26" t="s">
        <v>610</v>
      </c>
      <c r="B96" s="5">
        <v>45802</v>
      </c>
      <c r="C96" t="s">
        <v>214</v>
      </c>
      <c r="D96" t="s">
        <v>529</v>
      </c>
      <c r="E96" s="4" t="s">
        <v>201</v>
      </c>
      <c r="F96">
        <v>2024</v>
      </c>
      <c r="G96" s="9">
        <v>13.87</v>
      </c>
      <c r="H96" s="9">
        <v>14.95</v>
      </c>
      <c r="I96" s="9">
        <v>10.24</v>
      </c>
      <c r="J96" s="9">
        <v>11.05</v>
      </c>
      <c r="K96" s="1">
        <f>IF(D96="A-Station",F96+3,"")</f>
        <v>2027</v>
      </c>
      <c r="L96" s="30" t="str">
        <f ca="1">IF(K96&lt;=YEAR(TODAY()),"!","")</f>
        <v/>
      </c>
      <c r="S96" s="14"/>
      <c r="T96" s="14"/>
      <c r="V96" s="9"/>
      <c r="W96" s="9"/>
      <c r="X96" s="9"/>
      <c r="Y96" s="9"/>
      <c r="Z96" s="15"/>
      <c r="AA96" s="14"/>
    </row>
    <row r="97" spans="1:28" x14ac:dyDescent="0.2">
      <c r="A97" s="26" t="s">
        <v>611</v>
      </c>
      <c r="B97" s="5">
        <v>46070</v>
      </c>
      <c r="C97" t="s">
        <v>214</v>
      </c>
      <c r="D97" t="s">
        <v>541</v>
      </c>
      <c r="E97" s="4" t="s">
        <v>542</v>
      </c>
      <c r="F97">
        <v>2025</v>
      </c>
      <c r="G97" s="9">
        <v>12.89</v>
      </c>
      <c r="H97" s="9">
        <v>12.95</v>
      </c>
      <c r="I97" s="9">
        <v>8.8699999999999992</v>
      </c>
      <c r="J97" s="9">
        <v>9.9499999999999993</v>
      </c>
      <c r="K97" s="1" t="str">
        <f>IF(D97="A-Station",F97+3,"")</f>
        <v/>
      </c>
      <c r="L97" s="30" t="str">
        <f ca="1">IF(K97&lt;=YEAR(TODAY()),"!","")</f>
        <v/>
      </c>
      <c r="S97" s="14"/>
      <c r="T97" s="14"/>
      <c r="V97" s="9"/>
      <c r="W97" s="9"/>
      <c r="X97" s="9"/>
      <c r="Y97" s="9"/>
      <c r="Z97" s="15"/>
      <c r="AA97" s="14"/>
    </row>
    <row r="98" spans="1:28" x14ac:dyDescent="0.2">
      <c r="S98" s="14"/>
      <c r="T98" s="14"/>
      <c r="V98" s="9"/>
      <c r="W98" s="9"/>
      <c r="X98" s="9"/>
      <c r="Y98" s="9"/>
      <c r="Z98" s="15"/>
      <c r="AA98" s="14"/>
    </row>
    <row r="99" spans="1:28" x14ac:dyDescent="0.2">
      <c r="S99" s="19"/>
      <c r="T99" s="19"/>
      <c r="U99" s="21"/>
      <c r="V99" s="22"/>
      <c r="W99" s="22"/>
      <c r="X99" s="22"/>
      <c r="Y99" s="22"/>
      <c r="Z99" s="19"/>
      <c r="AA99" s="19"/>
      <c r="AB99" s="23"/>
    </row>
    <row r="100" spans="1:28" x14ac:dyDescent="0.2">
      <c r="S100" s="24"/>
      <c r="T100" s="24"/>
      <c r="U100" s="23"/>
      <c r="V100" s="25"/>
      <c r="W100" s="25"/>
      <c r="X100" s="25"/>
      <c r="Y100" s="25"/>
      <c r="Z100" s="15"/>
      <c r="AA100" s="24"/>
      <c r="AB100" s="23"/>
    </row>
    <row r="101" spans="1:28" x14ac:dyDescent="0.2">
      <c r="S101" s="14"/>
      <c r="T101" s="14"/>
      <c r="Z101" s="15"/>
      <c r="AA101" s="14"/>
    </row>
    <row r="102" spans="1:28" x14ac:dyDescent="0.2">
      <c r="S102" s="14"/>
      <c r="T102" s="14"/>
      <c r="W102" s="9"/>
      <c r="X102" s="9"/>
      <c r="Y102" s="9"/>
      <c r="Z102" s="15"/>
      <c r="AA102" s="14"/>
    </row>
    <row r="103" spans="1:28" x14ac:dyDescent="0.2">
      <c r="S103" s="14"/>
      <c r="T103" s="14"/>
      <c r="V103" s="9"/>
      <c r="W103" s="9"/>
      <c r="X103" s="9"/>
      <c r="Y103" s="9"/>
      <c r="Z103" s="15"/>
      <c r="AA103" s="14"/>
    </row>
  </sheetData>
  <autoFilter ref="A1:M74" xr:uid="{1B74BA25-6A11-4D15-8496-F03949EFBB16}">
    <sortState xmlns:xlrd2="http://schemas.microsoft.com/office/spreadsheetml/2017/richdata2" ref="A2:M97">
      <sortCondition ref="A1:A97"/>
    </sortState>
  </autoFilter>
  <sortState xmlns:xlrd2="http://schemas.microsoft.com/office/spreadsheetml/2017/richdata2" ref="A2:J19">
    <sortCondition ref="J1:J19"/>
  </sortState>
  <phoneticPr fontId="1"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C4CB-6000-4D48-8F46-36C2D35755CD}">
  <dimension ref="A1:N27"/>
  <sheetViews>
    <sheetView workbookViewId="0">
      <pane ySplit="2" topLeftCell="A3" activePane="bottomLeft" state="frozenSplit"/>
      <selection pane="bottomLeft" activeCell="D15" sqref="D15"/>
    </sheetView>
  </sheetViews>
  <sheetFormatPr baseColWidth="10" defaultColWidth="8.6640625" defaultRowHeight="15" x14ac:dyDescent="0.2"/>
  <cols>
    <col min="1" max="1" width="11.5" bestFit="1" customWidth="1"/>
    <col min="2" max="2" width="11.5" style="5" bestFit="1" customWidth="1"/>
    <col min="3" max="3" width="12.33203125" bestFit="1" customWidth="1"/>
    <col min="4" max="4" width="8.83203125" bestFit="1" customWidth="1"/>
    <col min="7" max="12" width="9.1640625" style="9"/>
    <col min="13" max="13" width="13.6640625" customWidth="1"/>
    <col min="14" max="14" width="9.1640625" style="12"/>
  </cols>
  <sheetData>
    <row r="1" spans="1:14" x14ac:dyDescent="0.2">
      <c r="A1" s="44" t="s">
        <v>612</v>
      </c>
      <c r="B1" s="49" t="s">
        <v>517</v>
      </c>
      <c r="C1" s="44" t="s">
        <v>613</v>
      </c>
      <c r="D1" s="44" t="s">
        <v>520</v>
      </c>
      <c r="E1" s="44" t="s">
        <v>614</v>
      </c>
      <c r="F1" s="44" t="s">
        <v>615</v>
      </c>
      <c r="G1" s="45" t="s">
        <v>616</v>
      </c>
      <c r="H1" s="45"/>
      <c r="I1" s="45"/>
      <c r="J1" s="45"/>
      <c r="K1" s="45"/>
      <c r="L1" s="45"/>
      <c r="M1" s="44" t="s">
        <v>617</v>
      </c>
      <c r="N1" s="43" t="s">
        <v>618</v>
      </c>
    </row>
    <row r="2" spans="1:14" x14ac:dyDescent="0.2">
      <c r="A2" s="44"/>
      <c r="B2" s="49"/>
      <c r="C2" s="44"/>
      <c r="D2" s="44"/>
      <c r="E2" s="44"/>
      <c r="F2" s="44"/>
      <c r="G2" s="13">
        <v>0</v>
      </c>
      <c r="H2" s="13">
        <v>10</v>
      </c>
      <c r="I2" s="13">
        <v>20</v>
      </c>
      <c r="J2" s="13">
        <v>30</v>
      </c>
      <c r="K2" s="13">
        <v>40</v>
      </c>
      <c r="L2" s="13">
        <v>50</v>
      </c>
      <c r="M2" s="44"/>
      <c r="N2" s="43"/>
    </row>
    <row r="3" spans="1:14" x14ac:dyDescent="0.2">
      <c r="A3" t="s">
        <v>619</v>
      </c>
      <c r="B3" s="5">
        <v>46182</v>
      </c>
      <c r="C3">
        <v>26</v>
      </c>
      <c r="D3" t="s">
        <v>421</v>
      </c>
      <c r="E3">
        <v>1015.6</v>
      </c>
      <c r="F3">
        <v>20.399999999999999</v>
      </c>
      <c r="G3" s="9">
        <v>-0.34</v>
      </c>
      <c r="H3" s="9">
        <v>24.24</v>
      </c>
      <c r="I3" s="9">
        <v>48.74</v>
      </c>
      <c r="J3" s="9">
        <v>73.25</v>
      </c>
      <c r="K3" s="9">
        <v>97.65</v>
      </c>
      <c r="L3" s="9">
        <v>122.02</v>
      </c>
      <c r="M3" s="31">
        <f t="shared" ref="M3:M17" si="0">SLOPE($G$2:$L$2,G3:L3)</f>
        <v>0.40861972530600105</v>
      </c>
      <c r="N3" s="12">
        <f t="shared" ref="N3:N17" si="1">RSQ(G3:L3,$G$2:$L$2)</f>
        <v>0.99999754146743458</v>
      </c>
    </row>
    <row r="4" spans="1:14" x14ac:dyDescent="0.2">
      <c r="A4" t="s">
        <v>620</v>
      </c>
      <c r="B4" s="5">
        <v>46083</v>
      </c>
      <c r="C4">
        <v>26</v>
      </c>
      <c r="D4" t="s">
        <v>487</v>
      </c>
      <c r="E4">
        <v>1015.6</v>
      </c>
      <c r="F4">
        <v>20.399999999999999</v>
      </c>
      <c r="G4" s="9">
        <v>0.23</v>
      </c>
      <c r="H4" s="9">
        <v>24.89</v>
      </c>
      <c r="I4" s="9">
        <v>49.5</v>
      </c>
      <c r="J4" s="9">
        <v>74.12</v>
      </c>
      <c r="K4" s="9">
        <v>98.66</v>
      </c>
      <c r="L4" s="9">
        <v>123.12</v>
      </c>
      <c r="M4" s="31">
        <f t="shared" si="0"/>
        <v>0.40679619493927593</v>
      </c>
      <c r="N4" s="12">
        <f t="shared" si="1"/>
        <v>0.99999802914815483</v>
      </c>
    </row>
    <row r="5" spans="1:14" x14ac:dyDescent="0.2">
      <c r="A5" t="s">
        <v>622</v>
      </c>
      <c r="B5" s="5">
        <v>46083</v>
      </c>
      <c r="C5">
        <v>26</v>
      </c>
      <c r="D5" t="s">
        <v>490</v>
      </c>
      <c r="E5">
        <v>1015.6</v>
      </c>
      <c r="F5">
        <v>20.399999999999999</v>
      </c>
      <c r="G5" s="9">
        <v>-0.34</v>
      </c>
      <c r="H5" s="9">
        <v>22.25</v>
      </c>
      <c r="I5" s="9">
        <v>44.77</v>
      </c>
      <c r="J5" s="9">
        <v>67.3</v>
      </c>
      <c r="K5" s="9">
        <v>89.83</v>
      </c>
      <c r="L5" s="9">
        <v>112.18</v>
      </c>
      <c r="M5" s="31">
        <f t="shared" si="0"/>
        <v>0.44423470583916597</v>
      </c>
      <c r="N5" s="12">
        <f t="shared" si="1"/>
        <v>0.99999770768429641</v>
      </c>
    </row>
    <row r="6" spans="1:14" x14ac:dyDescent="0.2">
      <c r="A6" t="s">
        <v>623</v>
      </c>
      <c r="B6" s="5">
        <v>46281</v>
      </c>
      <c r="C6">
        <v>26</v>
      </c>
      <c r="D6" t="s">
        <v>624</v>
      </c>
      <c r="E6">
        <v>1015.6</v>
      </c>
      <c r="F6">
        <v>20.399999999999999</v>
      </c>
      <c r="G6" s="9">
        <v>-0.03</v>
      </c>
      <c r="H6" s="9">
        <v>23.48</v>
      </c>
      <c r="I6" s="9">
        <v>46.95</v>
      </c>
      <c r="J6" s="9">
        <v>70.349999999999994</v>
      </c>
      <c r="K6" s="9">
        <v>93.79</v>
      </c>
      <c r="L6" s="9">
        <v>113.06</v>
      </c>
      <c r="M6" s="31">
        <f t="shared" si="0"/>
        <v>0.43721804434552169</v>
      </c>
      <c r="N6" s="12">
        <f t="shared" si="1"/>
        <v>0.99908070716188946</v>
      </c>
    </row>
    <row r="7" spans="1:14" x14ac:dyDescent="0.2">
      <c r="A7" t="s">
        <v>625</v>
      </c>
      <c r="B7" s="5">
        <v>46182</v>
      </c>
      <c r="C7">
        <v>26</v>
      </c>
      <c r="D7" t="s">
        <v>426</v>
      </c>
      <c r="E7">
        <v>1015.6</v>
      </c>
      <c r="F7">
        <v>20.399999999999999</v>
      </c>
      <c r="G7" s="9">
        <v>-0.24</v>
      </c>
      <c r="H7" s="9">
        <v>23.82</v>
      </c>
      <c r="I7" s="9">
        <v>47.83</v>
      </c>
      <c r="J7" s="9">
        <v>71.87</v>
      </c>
      <c r="K7" s="9">
        <v>95.82</v>
      </c>
      <c r="L7" s="9">
        <v>119.67</v>
      </c>
      <c r="M7" s="31">
        <f t="shared" si="0"/>
        <v>0.4168692055650875</v>
      </c>
      <c r="N7" s="12">
        <f t="shared" si="1"/>
        <v>0.99999776085826197</v>
      </c>
    </row>
    <row r="8" spans="1:14" x14ac:dyDescent="0.2">
      <c r="A8" t="s">
        <v>626</v>
      </c>
      <c r="B8" s="5">
        <v>46106</v>
      </c>
      <c r="C8">
        <v>26</v>
      </c>
      <c r="D8" t="s">
        <v>646</v>
      </c>
      <c r="E8">
        <v>1005.1</v>
      </c>
      <c r="F8">
        <v>22.4</v>
      </c>
      <c r="G8" s="9">
        <v>0</v>
      </c>
      <c r="H8" s="9">
        <v>22.87</v>
      </c>
      <c r="I8" s="9">
        <v>45.67</v>
      </c>
      <c r="J8" s="9">
        <v>68.47</v>
      </c>
      <c r="K8" s="9">
        <v>91.28</v>
      </c>
      <c r="L8" s="9">
        <v>113.95</v>
      </c>
      <c r="M8" s="31">
        <f>SLOPE($G$2:$L$2,G8:L8)</f>
        <v>0.43871679873227576</v>
      </c>
      <c r="N8" s="12">
        <f t="shared" si="1"/>
        <v>0.99999853626467095</v>
      </c>
    </row>
    <row r="9" spans="1:14" x14ac:dyDescent="0.2">
      <c r="A9" t="s">
        <v>627</v>
      </c>
      <c r="B9" s="5">
        <v>46106</v>
      </c>
      <c r="C9">
        <v>26</v>
      </c>
      <c r="D9" t="s">
        <v>621</v>
      </c>
      <c r="E9">
        <v>1005.1</v>
      </c>
      <c r="F9">
        <v>22.4</v>
      </c>
      <c r="G9" s="9">
        <v>-0.35</v>
      </c>
      <c r="H9" s="9">
        <v>24.1</v>
      </c>
      <c r="I9" s="9">
        <v>48.46</v>
      </c>
      <c r="J9" s="9">
        <v>72.849999999999994</v>
      </c>
      <c r="K9" s="9">
        <v>97.24</v>
      </c>
      <c r="L9" s="9">
        <v>121.46</v>
      </c>
      <c r="M9" s="31">
        <f t="shared" si="0"/>
        <v>0.41038321469039302</v>
      </c>
      <c r="N9" s="12">
        <f t="shared" si="1"/>
        <v>0.9999983670881385</v>
      </c>
    </row>
    <row r="10" spans="1:14" x14ac:dyDescent="0.2">
      <c r="A10" t="s">
        <v>628</v>
      </c>
      <c r="B10" s="5">
        <v>46106</v>
      </c>
      <c r="C10">
        <v>26</v>
      </c>
      <c r="D10" t="s">
        <v>621</v>
      </c>
      <c r="E10">
        <v>1005.1</v>
      </c>
      <c r="F10">
        <v>22.4</v>
      </c>
      <c r="G10" s="9">
        <v>-0.31</v>
      </c>
      <c r="H10" s="9">
        <v>24.28</v>
      </c>
      <c r="I10" s="9">
        <v>48.83</v>
      </c>
      <c r="J10" s="9">
        <v>73.27</v>
      </c>
      <c r="K10" s="9">
        <v>97.82</v>
      </c>
      <c r="L10" s="9">
        <v>122.17</v>
      </c>
      <c r="M10" s="31">
        <f t="shared" si="0"/>
        <v>0.40818145180754034</v>
      </c>
      <c r="N10" s="12">
        <f t="shared" si="1"/>
        <v>0.99999790761969576</v>
      </c>
    </row>
    <row r="11" spans="1:14" x14ac:dyDescent="0.2">
      <c r="A11" t="s">
        <v>629</v>
      </c>
      <c r="B11" s="5">
        <v>46249</v>
      </c>
      <c r="C11">
        <v>26</v>
      </c>
      <c r="D11" t="s">
        <v>600</v>
      </c>
      <c r="E11">
        <v>1005.1</v>
      </c>
      <c r="F11">
        <v>22.4</v>
      </c>
      <c r="G11" s="9">
        <v>-0.31</v>
      </c>
      <c r="H11" s="9">
        <v>24.72</v>
      </c>
      <c r="I11" s="9">
        <v>49.76</v>
      </c>
      <c r="J11" s="9">
        <v>74.77</v>
      </c>
      <c r="K11" s="9">
        <v>99.77</v>
      </c>
      <c r="L11" s="9">
        <v>124.53</v>
      </c>
      <c r="M11" s="31">
        <f t="shared" si="0"/>
        <v>0.40029144112719905</v>
      </c>
      <c r="N11" s="12">
        <f t="shared" si="1"/>
        <v>0.99999664132565047</v>
      </c>
    </row>
    <row r="12" spans="1:14" x14ac:dyDescent="0.2">
      <c r="A12" t="s">
        <v>630</v>
      </c>
      <c r="B12" s="5">
        <v>46106</v>
      </c>
      <c r="C12">
        <v>26</v>
      </c>
      <c r="D12" t="s">
        <v>621</v>
      </c>
      <c r="E12">
        <v>1004.3</v>
      </c>
      <c r="F12">
        <v>22.2</v>
      </c>
      <c r="G12" s="9">
        <v>-0.21</v>
      </c>
      <c r="H12" s="9">
        <v>24.75</v>
      </c>
      <c r="I12" s="9">
        <v>49.57</v>
      </c>
      <c r="J12" s="9">
        <v>74.78</v>
      </c>
      <c r="K12" s="9">
        <v>99.2</v>
      </c>
      <c r="L12" s="9">
        <v>123.8</v>
      </c>
      <c r="M12" s="31">
        <f t="shared" si="0"/>
        <v>0.40293423730790279</v>
      </c>
      <c r="N12" s="12">
        <f t="shared" si="1"/>
        <v>0.99997916533719267</v>
      </c>
    </row>
    <row r="13" spans="1:14" x14ac:dyDescent="0.2">
      <c r="A13" t="s">
        <v>631</v>
      </c>
      <c r="B13" s="5">
        <v>46106</v>
      </c>
      <c r="C13">
        <v>26</v>
      </c>
      <c r="D13" t="s">
        <v>621</v>
      </c>
      <c r="E13">
        <v>1004.3</v>
      </c>
      <c r="F13">
        <v>22.2</v>
      </c>
      <c r="G13" s="9">
        <v>-0.51</v>
      </c>
      <c r="H13" s="9">
        <v>23.16</v>
      </c>
      <c r="I13" s="9">
        <v>46.78</v>
      </c>
      <c r="J13" s="9">
        <v>70.42</v>
      </c>
      <c r="K13" s="9">
        <v>93.9</v>
      </c>
      <c r="L13" s="9">
        <v>117.37</v>
      </c>
      <c r="M13" s="31">
        <f t="shared" si="0"/>
        <v>0.42410740669364683</v>
      </c>
      <c r="N13" s="12">
        <f t="shared" si="1"/>
        <v>0.99999679556571097</v>
      </c>
    </row>
    <row r="14" spans="1:14" x14ac:dyDescent="0.2">
      <c r="A14" t="s">
        <v>632</v>
      </c>
      <c r="B14" s="5">
        <v>46106</v>
      </c>
      <c r="C14">
        <v>26</v>
      </c>
      <c r="D14" t="s">
        <v>621</v>
      </c>
      <c r="E14">
        <v>1004.3</v>
      </c>
      <c r="F14">
        <v>22.2</v>
      </c>
      <c r="G14" s="9">
        <v>-0.56000000000000005</v>
      </c>
      <c r="H14" s="9">
        <v>23.55</v>
      </c>
      <c r="I14" s="9">
        <v>47.77</v>
      </c>
      <c r="J14" s="9">
        <v>71.94</v>
      </c>
      <c r="K14" s="9">
        <v>96.06</v>
      </c>
      <c r="L14" s="9">
        <v>120.55</v>
      </c>
      <c r="M14" s="31">
        <f t="shared" si="0"/>
        <v>0.41309925776363438</v>
      </c>
      <c r="N14" s="12">
        <f t="shared" si="1"/>
        <v>0.99999527468639804</v>
      </c>
    </row>
    <row r="15" spans="1:14" x14ac:dyDescent="0.2">
      <c r="A15" t="s">
        <v>633</v>
      </c>
      <c r="B15" s="5">
        <v>46281</v>
      </c>
      <c r="C15">
        <v>26</v>
      </c>
      <c r="D15" t="s">
        <v>283</v>
      </c>
      <c r="E15">
        <v>1004.3</v>
      </c>
      <c r="F15">
        <v>22.2</v>
      </c>
      <c r="G15" s="9">
        <v>-0.48</v>
      </c>
      <c r="H15" s="9">
        <v>23.15</v>
      </c>
      <c r="I15" s="9">
        <v>46.8</v>
      </c>
      <c r="J15" s="9">
        <v>70.489999999999995</v>
      </c>
      <c r="K15" s="9">
        <v>94.15</v>
      </c>
      <c r="L15" s="9">
        <v>117.64</v>
      </c>
      <c r="M15" s="31">
        <f t="shared" si="0"/>
        <v>0.42306750229704693</v>
      </c>
      <c r="N15" s="12">
        <f t="shared" si="1"/>
        <v>0.99999861135806833</v>
      </c>
    </row>
    <row r="16" spans="1:14" x14ac:dyDescent="0.2">
      <c r="A16" t="s">
        <v>634</v>
      </c>
      <c r="B16" s="5">
        <v>46106</v>
      </c>
      <c r="C16">
        <v>26</v>
      </c>
      <c r="D16" t="s">
        <v>621</v>
      </c>
      <c r="E16">
        <v>1003.4</v>
      </c>
      <c r="F16">
        <v>22.2</v>
      </c>
      <c r="G16" s="9">
        <v>-0.35</v>
      </c>
      <c r="H16" s="9">
        <v>22.55</v>
      </c>
      <c r="I16" s="9">
        <v>45.53</v>
      </c>
      <c r="J16" s="9">
        <v>68.62</v>
      </c>
      <c r="K16" s="9">
        <v>91.72</v>
      </c>
      <c r="L16" s="9">
        <v>114.7</v>
      </c>
      <c r="M16" s="31">
        <f t="shared" si="0"/>
        <v>0.4343230898807629</v>
      </c>
      <c r="N16" s="12">
        <f t="shared" si="1"/>
        <v>0.99999789137260775</v>
      </c>
    </row>
    <row r="17" spans="1:14" x14ac:dyDescent="0.2">
      <c r="A17" t="s">
        <v>635</v>
      </c>
      <c r="B17" s="5">
        <v>46249</v>
      </c>
      <c r="C17">
        <v>26</v>
      </c>
      <c r="D17" t="s">
        <v>555</v>
      </c>
      <c r="E17">
        <v>1003.4</v>
      </c>
      <c r="F17">
        <v>22.2</v>
      </c>
      <c r="G17" s="9">
        <v>-0.32</v>
      </c>
      <c r="H17" s="9">
        <v>22.94</v>
      </c>
      <c r="I17" s="9">
        <v>46.13</v>
      </c>
      <c r="J17" s="9">
        <v>69.260000000000005</v>
      </c>
      <c r="K17" s="9">
        <v>92.42</v>
      </c>
      <c r="L17" s="9">
        <v>115.44</v>
      </c>
      <c r="M17" s="31">
        <f t="shared" si="0"/>
        <v>0.431900446118406</v>
      </c>
      <c r="N17" s="12">
        <f t="shared" si="1"/>
        <v>0.99999761291706435</v>
      </c>
    </row>
    <row r="18" spans="1:14" x14ac:dyDescent="0.2">
      <c r="A18" t="s">
        <v>636</v>
      </c>
      <c r="B18" s="5">
        <v>46231</v>
      </c>
      <c r="C18">
        <v>26</v>
      </c>
      <c r="D18" t="s">
        <v>621</v>
      </c>
      <c r="G18" s="9">
        <v>-0.3</v>
      </c>
      <c r="H18" s="9">
        <v>23.29</v>
      </c>
      <c r="I18" s="9">
        <v>46.41</v>
      </c>
      <c r="J18" s="9">
        <v>70.27</v>
      </c>
      <c r="K18" s="9">
        <v>93.68</v>
      </c>
      <c r="L18" s="9">
        <v>116.96</v>
      </c>
      <c r="M18" s="31">
        <f t="shared" ref="M18" si="2">SLOPE($G$2:$L$2,G18:L18)</f>
        <v>0.42613322042140717</v>
      </c>
      <c r="N18" s="12">
        <f t="shared" ref="N18" si="3">RSQ(G18:L18,$G$2:$L$2)</f>
        <v>0.9999885655106121</v>
      </c>
    </row>
    <row r="19" spans="1:14" x14ac:dyDescent="0.2">
      <c r="M19" s="31"/>
    </row>
    <row r="20" spans="1:14" x14ac:dyDescent="0.2">
      <c r="M20" s="31"/>
    </row>
    <row r="21" spans="1:14" x14ac:dyDescent="0.2">
      <c r="M21" s="31"/>
    </row>
    <row r="22" spans="1:14" x14ac:dyDescent="0.2">
      <c r="M22" s="31"/>
    </row>
    <row r="23" spans="1:14" x14ac:dyDescent="0.2">
      <c r="M23" s="31"/>
    </row>
    <row r="24" spans="1:14" x14ac:dyDescent="0.2">
      <c r="M24" s="31"/>
    </row>
    <row r="25" spans="1:14" x14ac:dyDescent="0.2">
      <c r="M25" s="31"/>
    </row>
    <row r="26" spans="1:14" x14ac:dyDescent="0.2">
      <c r="M26" s="31"/>
    </row>
    <row r="27" spans="1:14" x14ac:dyDescent="0.2">
      <c r="M27" s="31"/>
    </row>
  </sheetData>
  <sortState xmlns:xlrd2="http://schemas.microsoft.com/office/spreadsheetml/2017/richdata2" ref="A3:N17">
    <sortCondition ref="A3:A17"/>
  </sortState>
  <mergeCells count="9">
    <mergeCell ref="N1:N2"/>
    <mergeCell ref="E1:E2"/>
    <mergeCell ref="F1:F2"/>
    <mergeCell ref="G1:L1"/>
    <mergeCell ref="A1:A2"/>
    <mergeCell ref="B1:B2"/>
    <mergeCell ref="C1:C2"/>
    <mergeCell ref="D1:D2"/>
    <mergeCell ref="M1:M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FCFC6-695E-4891-9CAF-320816D1E439}">
  <sheetPr>
    <tabColor theme="6"/>
  </sheetPr>
  <dimension ref="A1"/>
  <sheetViews>
    <sheetView workbookViewId="0">
      <selection activeCell="R48" sqref="R48"/>
    </sheetView>
  </sheetViews>
  <sheetFormatPr baseColWidth="10" defaultColWidth="8.6640625" defaultRowHeight="15"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2F707-5FA2-44A8-A40B-AB44985B1BDD}">
  <dimension ref="A6:AB108"/>
  <sheetViews>
    <sheetView zoomScale="85" zoomScaleNormal="85" workbookViewId="0">
      <pane ySplit="6" topLeftCell="A59" activePane="bottomLeft" state="frozen"/>
      <selection pane="bottomLeft" activeCell="E82" sqref="E82"/>
    </sheetView>
  </sheetViews>
  <sheetFormatPr baseColWidth="10" defaultColWidth="8.6640625" defaultRowHeight="15" x14ac:dyDescent="0.2"/>
  <cols>
    <col min="1" max="1" width="12.33203125" style="14" customWidth="1"/>
    <col min="2" max="2" width="19.1640625" style="5" bestFit="1" customWidth="1"/>
    <col min="3" max="3" width="10.5" bestFit="1" customWidth="1"/>
    <col min="4" max="4" width="25" bestFit="1" customWidth="1"/>
    <col min="5" max="5" width="22.5" bestFit="1" customWidth="1"/>
    <col min="6" max="6" width="14.5" bestFit="1" customWidth="1"/>
    <col min="7" max="7" width="28.6640625" style="9" bestFit="1" customWidth="1"/>
    <col min="8" max="8" width="31" style="9" bestFit="1" customWidth="1"/>
    <col min="9" max="9" width="28.5" style="9" bestFit="1" customWidth="1"/>
    <col min="10" max="10" width="30.6640625" style="9" bestFit="1" customWidth="1"/>
    <col min="11" max="11" width="33.5" style="1" bestFit="1" customWidth="1"/>
    <col min="12" max="12" width="2.6640625" style="1" customWidth="1"/>
    <col min="13" max="13" width="38.6640625" bestFit="1" customWidth="1"/>
    <col min="25" max="25" width="20.1640625" customWidth="1"/>
    <col min="26" max="26" width="29.6640625" customWidth="1"/>
  </cols>
  <sheetData>
    <row r="6" spans="1:27" x14ac:dyDescent="0.2">
      <c r="A6" s="27" t="s">
        <v>516</v>
      </c>
      <c r="B6" s="16" t="s">
        <v>517</v>
      </c>
      <c r="C6" s="10" t="s">
        <v>518</v>
      </c>
      <c r="D6" s="10" t="s">
        <v>519</v>
      </c>
      <c r="E6" s="10" t="s">
        <v>520</v>
      </c>
      <c r="F6" s="10" t="s">
        <v>521</v>
      </c>
      <c r="G6" s="11" t="s">
        <v>637</v>
      </c>
      <c r="H6" s="11" t="s">
        <v>638</v>
      </c>
      <c r="I6" s="11" t="s">
        <v>639</v>
      </c>
      <c r="J6" s="11" t="s">
        <v>640</v>
      </c>
      <c r="K6" s="29" t="s">
        <v>526</v>
      </c>
      <c r="L6" s="29"/>
      <c r="M6" s="11" t="s">
        <v>78</v>
      </c>
    </row>
    <row r="7" spans="1:27" x14ac:dyDescent="0.2">
      <c r="A7" s="14" t="s">
        <v>506</v>
      </c>
      <c r="B7" s="5">
        <v>45819</v>
      </c>
      <c r="C7" t="s">
        <v>214</v>
      </c>
      <c r="D7" t="s">
        <v>529</v>
      </c>
      <c r="E7" s="4" t="s">
        <v>141</v>
      </c>
      <c r="F7">
        <v>2025</v>
      </c>
      <c r="G7" s="9">
        <v>14.56</v>
      </c>
      <c r="H7" s="9">
        <v>14.29</v>
      </c>
      <c r="I7" s="9">
        <v>9.51</v>
      </c>
      <c r="J7" s="9">
        <v>8.81</v>
      </c>
      <c r="K7" s="1">
        <f t="shared" ref="K7:K38" si="0">IF(D7="A-Station",F7+3,"")</f>
        <v>2028</v>
      </c>
      <c r="L7" s="30" t="str">
        <f t="shared" ref="L7:L38" ca="1" si="1">IF(K7&lt;=YEAR(TODAY()),"!","")</f>
        <v/>
      </c>
    </row>
    <row r="8" spans="1:27" x14ac:dyDescent="0.2">
      <c r="A8" s="14" t="s">
        <v>604</v>
      </c>
      <c r="B8" s="5">
        <v>45786</v>
      </c>
      <c r="C8" t="s">
        <v>214</v>
      </c>
      <c r="D8" t="s">
        <v>529</v>
      </c>
      <c r="E8" s="4" t="s">
        <v>154</v>
      </c>
      <c r="F8">
        <v>2025</v>
      </c>
      <c r="G8" s="9">
        <v>10.99</v>
      </c>
      <c r="H8" s="9">
        <v>13.25</v>
      </c>
      <c r="I8" s="9">
        <v>10.47</v>
      </c>
      <c r="J8" s="9">
        <v>8.93</v>
      </c>
      <c r="K8" s="1">
        <f t="shared" si="0"/>
        <v>2028</v>
      </c>
      <c r="L8" s="30" t="str">
        <f t="shared" ca="1" si="1"/>
        <v/>
      </c>
    </row>
    <row r="9" spans="1:27" x14ac:dyDescent="0.2">
      <c r="A9" s="14" t="s">
        <v>572</v>
      </c>
      <c r="B9" s="5">
        <v>45789</v>
      </c>
      <c r="C9" t="s">
        <v>214</v>
      </c>
      <c r="D9" t="s">
        <v>529</v>
      </c>
      <c r="E9" s="4" t="s">
        <v>162</v>
      </c>
      <c r="F9">
        <v>2023</v>
      </c>
      <c r="G9" s="9">
        <v>10.31</v>
      </c>
      <c r="H9" s="9">
        <v>12.2</v>
      </c>
      <c r="I9" s="9">
        <v>10.78</v>
      </c>
      <c r="J9" s="9">
        <v>11.25</v>
      </c>
      <c r="K9" s="1">
        <f t="shared" si="0"/>
        <v>2026</v>
      </c>
      <c r="L9" s="30" t="str">
        <f t="shared" ca="1" si="1"/>
        <v>!</v>
      </c>
    </row>
    <row r="10" spans="1:27" x14ac:dyDescent="0.2">
      <c r="A10" s="14" t="s">
        <v>609</v>
      </c>
      <c r="B10" s="5">
        <v>45822</v>
      </c>
      <c r="C10" t="s">
        <v>214</v>
      </c>
      <c r="D10" t="s">
        <v>529</v>
      </c>
      <c r="E10" s="4" t="s">
        <v>103</v>
      </c>
      <c r="F10">
        <v>2024</v>
      </c>
      <c r="G10" s="9">
        <v>13.74</v>
      </c>
      <c r="H10" s="9">
        <v>14.34</v>
      </c>
      <c r="I10" s="9">
        <v>7.72</v>
      </c>
      <c r="J10" s="9">
        <v>11.44</v>
      </c>
      <c r="K10" s="1">
        <f t="shared" si="0"/>
        <v>2027</v>
      </c>
      <c r="L10" s="30" t="str">
        <f t="shared" ca="1" si="1"/>
        <v/>
      </c>
      <c r="S10" s="28"/>
    </row>
    <row r="11" spans="1:27" x14ac:dyDescent="0.2">
      <c r="A11" s="14" t="s">
        <v>215</v>
      </c>
      <c r="B11" s="5">
        <v>45775</v>
      </c>
      <c r="C11" t="s">
        <v>214</v>
      </c>
      <c r="D11" t="s">
        <v>529</v>
      </c>
      <c r="E11" s="4" t="s">
        <v>204</v>
      </c>
      <c r="F11">
        <v>2021</v>
      </c>
      <c r="G11" s="9">
        <v>17.71</v>
      </c>
      <c r="H11" s="9">
        <v>16.739999999999998</v>
      </c>
      <c r="I11" s="9">
        <v>9.8800000000000008</v>
      </c>
      <c r="J11" s="9">
        <v>7.46</v>
      </c>
      <c r="K11" s="1">
        <f t="shared" si="0"/>
        <v>2024</v>
      </c>
      <c r="L11" s="30" t="str">
        <f t="shared" ca="1" si="1"/>
        <v>!</v>
      </c>
    </row>
    <row r="12" spans="1:27" x14ac:dyDescent="0.2">
      <c r="A12" s="14" t="s">
        <v>527</v>
      </c>
      <c r="B12" s="5">
        <v>46128</v>
      </c>
      <c r="C12" t="s">
        <v>528</v>
      </c>
      <c r="D12" t="s">
        <v>529</v>
      </c>
      <c r="E12" s="4" t="s">
        <v>530</v>
      </c>
      <c r="F12">
        <v>2025</v>
      </c>
      <c r="G12" s="9">
        <v>21.12</v>
      </c>
      <c r="H12" s="9">
        <v>16.079999999999998</v>
      </c>
      <c r="I12" s="9">
        <v>12.21</v>
      </c>
      <c r="J12" s="9">
        <v>10.92</v>
      </c>
      <c r="K12" s="1">
        <f t="shared" si="0"/>
        <v>2028</v>
      </c>
      <c r="L12" s="30" t="str">
        <f t="shared" ca="1" si="1"/>
        <v/>
      </c>
    </row>
    <row r="13" spans="1:27" x14ac:dyDescent="0.2">
      <c r="A13" s="14" t="s">
        <v>559</v>
      </c>
      <c r="B13" s="5">
        <v>45816</v>
      </c>
      <c r="C13" t="s">
        <v>214</v>
      </c>
      <c r="D13" t="s">
        <v>529</v>
      </c>
      <c r="E13" s="4" t="s">
        <v>147</v>
      </c>
      <c r="F13">
        <v>2023</v>
      </c>
      <c r="G13" s="9">
        <v>13.33</v>
      </c>
      <c r="H13" s="9">
        <v>12.27</v>
      </c>
      <c r="I13" s="9">
        <v>12.25</v>
      </c>
      <c r="J13" s="9">
        <v>8.11</v>
      </c>
      <c r="K13" s="1">
        <f t="shared" si="0"/>
        <v>2026</v>
      </c>
      <c r="L13" s="30" t="str">
        <f t="shared" ca="1" si="1"/>
        <v>!</v>
      </c>
      <c r="T13" s="14"/>
      <c r="AA13" s="14"/>
    </row>
    <row r="14" spans="1:27" x14ac:dyDescent="0.2">
      <c r="A14" s="14" t="s">
        <v>383</v>
      </c>
      <c r="B14" s="5">
        <v>45889</v>
      </c>
      <c r="C14" t="s">
        <v>214</v>
      </c>
      <c r="D14" t="s">
        <v>529</v>
      </c>
      <c r="E14" s="4" t="s">
        <v>577</v>
      </c>
      <c r="F14">
        <v>2022</v>
      </c>
      <c r="G14" s="9">
        <v>10.050000000000001</v>
      </c>
      <c r="H14" s="9">
        <v>14.53</v>
      </c>
      <c r="I14" s="9">
        <v>11.51</v>
      </c>
      <c r="J14" s="9">
        <v>11.82</v>
      </c>
      <c r="K14" s="1">
        <f t="shared" si="0"/>
        <v>2025</v>
      </c>
      <c r="L14" s="30" t="str">
        <f t="shared" ca="1" si="1"/>
        <v>!</v>
      </c>
      <c r="T14" s="14"/>
      <c r="AA14" s="14"/>
    </row>
    <row r="15" spans="1:27" x14ac:dyDescent="0.2">
      <c r="A15" s="14" t="s">
        <v>297</v>
      </c>
      <c r="B15" s="5">
        <v>45900</v>
      </c>
      <c r="C15" s="14" t="s">
        <v>269</v>
      </c>
      <c r="D15" t="s">
        <v>529</v>
      </c>
      <c r="E15" s="14" t="s">
        <v>292</v>
      </c>
      <c r="F15">
        <v>2024</v>
      </c>
      <c r="G15" s="9">
        <v>7.88</v>
      </c>
      <c r="H15" s="9">
        <v>7.88</v>
      </c>
      <c r="I15" s="9">
        <v>7.88</v>
      </c>
      <c r="J15" s="9">
        <v>7.88</v>
      </c>
      <c r="K15" s="1">
        <f t="shared" si="0"/>
        <v>2027</v>
      </c>
      <c r="L15" s="30" t="str">
        <f t="shared" ca="1" si="1"/>
        <v/>
      </c>
      <c r="T15" s="14"/>
      <c r="AA15" s="14"/>
    </row>
    <row r="16" spans="1:27" x14ac:dyDescent="0.2">
      <c r="A16" s="14" t="s">
        <v>581</v>
      </c>
      <c r="B16" s="5">
        <v>45894</v>
      </c>
      <c r="C16" t="s">
        <v>214</v>
      </c>
      <c r="D16" t="s">
        <v>529</v>
      </c>
      <c r="E16" s="4" t="s">
        <v>641</v>
      </c>
      <c r="F16">
        <v>2023</v>
      </c>
      <c r="G16" s="9">
        <v>11.73</v>
      </c>
      <c r="H16" s="9">
        <v>15.15</v>
      </c>
      <c r="I16" s="9">
        <v>13.77</v>
      </c>
      <c r="J16" s="9">
        <v>13.99</v>
      </c>
      <c r="K16" s="1">
        <f t="shared" si="0"/>
        <v>2026</v>
      </c>
      <c r="L16" s="30" t="str">
        <f t="shared" ca="1" si="1"/>
        <v>!</v>
      </c>
      <c r="T16" s="14"/>
      <c r="AA16" s="14"/>
    </row>
    <row r="17" spans="1:14" x14ac:dyDescent="0.2">
      <c r="A17" s="14" t="s">
        <v>305</v>
      </c>
      <c r="B17" s="5">
        <v>45895</v>
      </c>
      <c r="C17" t="s">
        <v>269</v>
      </c>
      <c r="D17" t="s">
        <v>529</v>
      </c>
      <c r="E17" s="4" t="s">
        <v>301</v>
      </c>
      <c r="F17">
        <v>2024</v>
      </c>
      <c r="G17" s="9">
        <v>6.96</v>
      </c>
      <c r="H17" s="9">
        <v>6.96</v>
      </c>
      <c r="I17" s="9">
        <v>6.96</v>
      </c>
      <c r="J17" s="9">
        <v>6.96</v>
      </c>
      <c r="K17" s="1">
        <f t="shared" si="0"/>
        <v>2027</v>
      </c>
      <c r="L17" s="30" t="str">
        <f t="shared" ca="1" si="1"/>
        <v/>
      </c>
    </row>
    <row r="18" spans="1:14" x14ac:dyDescent="0.2">
      <c r="A18" s="14" t="s">
        <v>589</v>
      </c>
      <c r="B18" s="5">
        <v>45941</v>
      </c>
      <c r="C18" t="s">
        <v>214</v>
      </c>
      <c r="D18" t="s">
        <v>529</v>
      </c>
      <c r="E18" s="4" t="s">
        <v>248</v>
      </c>
      <c r="F18">
        <v>2025</v>
      </c>
      <c r="G18" s="9">
        <v>13.37</v>
      </c>
      <c r="H18" s="9">
        <v>14.88</v>
      </c>
      <c r="I18" s="9">
        <v>12.8</v>
      </c>
      <c r="J18" s="9">
        <v>10.31</v>
      </c>
      <c r="K18" s="1">
        <f t="shared" si="0"/>
        <v>2028</v>
      </c>
      <c r="L18" s="30" t="str">
        <f t="shared" ca="1" si="1"/>
        <v/>
      </c>
    </row>
    <row r="19" spans="1:14" x14ac:dyDescent="0.2">
      <c r="A19" s="14" t="s">
        <v>588</v>
      </c>
      <c r="B19" s="5">
        <v>45793</v>
      </c>
      <c r="C19" t="s">
        <v>214</v>
      </c>
      <c r="D19" t="s">
        <v>529</v>
      </c>
      <c r="E19" s="4" t="s">
        <v>190</v>
      </c>
      <c r="F19">
        <v>2025</v>
      </c>
      <c r="G19" s="9">
        <v>15.56</v>
      </c>
      <c r="H19" s="9">
        <v>16.559999999999999</v>
      </c>
      <c r="I19" s="9">
        <v>14.59</v>
      </c>
      <c r="J19" s="9">
        <v>14.64</v>
      </c>
      <c r="K19" s="1">
        <f t="shared" si="0"/>
        <v>2028</v>
      </c>
      <c r="L19" s="30" t="str">
        <f t="shared" ca="1" si="1"/>
        <v/>
      </c>
    </row>
    <row r="20" spans="1:14" x14ac:dyDescent="0.2">
      <c r="A20" s="14" t="s">
        <v>489</v>
      </c>
      <c r="B20" s="5">
        <v>44709</v>
      </c>
      <c r="C20" t="s">
        <v>214</v>
      </c>
      <c r="D20" t="s">
        <v>529</v>
      </c>
      <c r="E20" t="s">
        <v>487</v>
      </c>
      <c r="F20">
        <v>2022</v>
      </c>
      <c r="G20" s="9">
        <v>12.44</v>
      </c>
      <c r="H20" s="9">
        <v>14.19</v>
      </c>
      <c r="I20" s="9">
        <v>9.26</v>
      </c>
      <c r="J20" s="9">
        <v>9.42</v>
      </c>
      <c r="K20" s="1">
        <f t="shared" si="0"/>
        <v>2025</v>
      </c>
      <c r="L20" s="30" t="str">
        <f t="shared" ca="1" si="1"/>
        <v>!</v>
      </c>
    </row>
    <row r="21" spans="1:14" x14ac:dyDescent="0.2">
      <c r="A21" s="14" t="s">
        <v>491</v>
      </c>
      <c r="B21" s="5">
        <v>44709</v>
      </c>
      <c r="C21" t="s">
        <v>214</v>
      </c>
      <c r="D21" t="s">
        <v>529</v>
      </c>
      <c r="E21" t="s">
        <v>490</v>
      </c>
      <c r="F21">
        <v>2022</v>
      </c>
      <c r="G21" s="9">
        <v>12.87</v>
      </c>
      <c r="H21" s="9">
        <v>13.09</v>
      </c>
      <c r="I21" s="9">
        <v>11.28</v>
      </c>
      <c r="J21" s="9">
        <v>13.83</v>
      </c>
      <c r="K21" s="1">
        <f t="shared" si="0"/>
        <v>2025</v>
      </c>
      <c r="L21" s="30" t="str">
        <f t="shared" ca="1" si="1"/>
        <v>!</v>
      </c>
      <c r="M21" s="15"/>
    </row>
    <row r="22" spans="1:14" x14ac:dyDescent="0.2">
      <c r="A22" s="14" t="s">
        <v>606</v>
      </c>
      <c r="B22" s="5">
        <v>45456</v>
      </c>
      <c r="C22" t="s">
        <v>214</v>
      </c>
      <c r="D22" t="s">
        <v>529</v>
      </c>
      <c r="E22" s="4" t="s">
        <v>121</v>
      </c>
      <c r="F22">
        <v>2021</v>
      </c>
      <c r="G22" s="9">
        <v>13.57</v>
      </c>
      <c r="H22" s="9">
        <v>13.31</v>
      </c>
      <c r="I22" s="9">
        <v>10.28</v>
      </c>
      <c r="J22" s="9">
        <v>10.78</v>
      </c>
      <c r="K22" s="1">
        <f t="shared" si="0"/>
        <v>2024</v>
      </c>
      <c r="L22" s="30" t="str">
        <f t="shared" ca="1" si="1"/>
        <v>!</v>
      </c>
    </row>
    <row r="23" spans="1:14" x14ac:dyDescent="0.2">
      <c r="A23" s="14" t="s">
        <v>574</v>
      </c>
      <c r="B23" s="5">
        <v>45787</v>
      </c>
      <c r="C23" t="s">
        <v>214</v>
      </c>
      <c r="D23" t="s">
        <v>529</v>
      </c>
      <c r="E23" s="4" t="s">
        <v>125</v>
      </c>
      <c r="F23">
        <v>2024</v>
      </c>
      <c r="G23" s="9">
        <v>13.41</v>
      </c>
      <c r="H23" s="9">
        <v>13.88</v>
      </c>
      <c r="I23" s="9">
        <v>13.59</v>
      </c>
      <c r="J23" s="9">
        <v>14.91</v>
      </c>
      <c r="K23" s="1">
        <f t="shared" si="0"/>
        <v>2027</v>
      </c>
      <c r="L23" s="30" t="str">
        <f t="shared" ca="1" si="1"/>
        <v/>
      </c>
    </row>
    <row r="24" spans="1:14" x14ac:dyDescent="0.2">
      <c r="A24" s="14" t="s">
        <v>597</v>
      </c>
      <c r="B24" s="5">
        <v>45821</v>
      </c>
      <c r="C24" t="s">
        <v>214</v>
      </c>
      <c r="D24" t="s">
        <v>529</v>
      </c>
      <c r="E24" s="4" t="s">
        <v>152</v>
      </c>
      <c r="F24">
        <v>2025</v>
      </c>
      <c r="G24" s="9">
        <v>15.43</v>
      </c>
      <c r="H24" s="9">
        <v>11.37</v>
      </c>
      <c r="I24" s="9">
        <v>11.39</v>
      </c>
      <c r="J24" s="9">
        <v>11.06</v>
      </c>
      <c r="K24" s="1">
        <f t="shared" si="0"/>
        <v>2028</v>
      </c>
      <c r="L24" s="30" t="str">
        <f t="shared" ca="1" si="1"/>
        <v/>
      </c>
    </row>
    <row r="25" spans="1:14" x14ac:dyDescent="0.2">
      <c r="A25" s="14" t="s">
        <v>610</v>
      </c>
      <c r="B25" s="5">
        <v>45802</v>
      </c>
      <c r="C25" t="s">
        <v>214</v>
      </c>
      <c r="D25" t="s">
        <v>529</v>
      </c>
      <c r="E25" s="4" t="s">
        <v>201</v>
      </c>
      <c r="F25">
        <v>2024</v>
      </c>
      <c r="G25" s="9">
        <v>13.87</v>
      </c>
      <c r="H25" s="9">
        <v>14.95</v>
      </c>
      <c r="I25" s="9">
        <v>10.24</v>
      </c>
      <c r="J25" s="9">
        <v>11.05</v>
      </c>
      <c r="K25" s="1">
        <f t="shared" si="0"/>
        <v>2027</v>
      </c>
      <c r="L25" s="30" t="str">
        <f t="shared" ca="1" si="1"/>
        <v/>
      </c>
    </row>
    <row r="26" spans="1:14" x14ac:dyDescent="0.2">
      <c r="A26" s="14" t="s">
        <v>573</v>
      </c>
      <c r="B26" s="5">
        <v>46128</v>
      </c>
      <c r="C26" t="s">
        <v>214</v>
      </c>
      <c r="D26" t="s">
        <v>529</v>
      </c>
      <c r="E26" t="s">
        <v>413</v>
      </c>
      <c r="F26">
        <v>2023</v>
      </c>
      <c r="G26" s="9">
        <v>12.41</v>
      </c>
      <c r="H26" s="9">
        <v>12.37</v>
      </c>
      <c r="I26" s="9">
        <v>14</v>
      </c>
      <c r="J26" s="9">
        <v>10.72</v>
      </c>
      <c r="K26" s="1">
        <f t="shared" si="0"/>
        <v>2026</v>
      </c>
      <c r="L26" s="30" t="str">
        <f t="shared" ca="1" si="1"/>
        <v>!</v>
      </c>
    </row>
    <row r="27" spans="1:14" x14ac:dyDescent="0.2">
      <c r="A27" s="14" t="s">
        <v>591</v>
      </c>
      <c r="B27" s="5">
        <v>45918</v>
      </c>
      <c r="C27" t="s">
        <v>214</v>
      </c>
      <c r="D27" t="s">
        <v>529</v>
      </c>
      <c r="E27" s="4" t="s">
        <v>416</v>
      </c>
      <c r="F27">
        <v>2023</v>
      </c>
      <c r="G27" s="9">
        <v>14.26</v>
      </c>
      <c r="H27" s="9">
        <v>14.13</v>
      </c>
      <c r="I27" s="9">
        <v>10.34</v>
      </c>
      <c r="J27" s="9">
        <v>11.55</v>
      </c>
      <c r="K27" s="1">
        <f t="shared" si="0"/>
        <v>2026</v>
      </c>
      <c r="L27" s="30" t="str">
        <f t="shared" ca="1" si="1"/>
        <v>!</v>
      </c>
    </row>
    <row r="28" spans="1:14" x14ac:dyDescent="0.2">
      <c r="A28" s="14" t="s">
        <v>337</v>
      </c>
      <c r="B28" s="5">
        <v>45815</v>
      </c>
      <c r="C28" t="s">
        <v>214</v>
      </c>
      <c r="D28" t="s">
        <v>529</v>
      </c>
      <c r="E28" s="4" t="s">
        <v>333</v>
      </c>
      <c r="F28">
        <v>2024</v>
      </c>
      <c r="G28" s="9">
        <v>14.63</v>
      </c>
      <c r="H28" s="9">
        <v>14.79</v>
      </c>
      <c r="I28" s="9">
        <v>11.77</v>
      </c>
      <c r="J28" s="9">
        <v>13.94</v>
      </c>
      <c r="K28" s="1">
        <f t="shared" si="0"/>
        <v>2027</v>
      </c>
      <c r="L28" s="30" t="str">
        <f t="shared" ca="1" si="1"/>
        <v/>
      </c>
    </row>
    <row r="29" spans="1:14" x14ac:dyDescent="0.2">
      <c r="A29" s="14" t="s">
        <v>348</v>
      </c>
      <c r="B29" s="5">
        <v>45815</v>
      </c>
      <c r="C29" t="s">
        <v>214</v>
      </c>
      <c r="D29" t="s">
        <v>529</v>
      </c>
      <c r="E29" s="4" t="s">
        <v>345</v>
      </c>
      <c r="F29">
        <v>2025</v>
      </c>
      <c r="G29" s="9">
        <v>13.65</v>
      </c>
      <c r="H29" s="9">
        <v>13.09</v>
      </c>
      <c r="I29" s="9">
        <v>9.1</v>
      </c>
      <c r="J29" s="9">
        <v>8.69</v>
      </c>
      <c r="K29" s="1">
        <f t="shared" si="0"/>
        <v>2028</v>
      </c>
      <c r="L29" s="30" t="str">
        <f t="shared" ca="1" si="1"/>
        <v/>
      </c>
    </row>
    <row r="30" spans="1:14" x14ac:dyDescent="0.2">
      <c r="A30" s="14" t="s">
        <v>531</v>
      </c>
      <c r="B30" s="5">
        <v>46128</v>
      </c>
      <c r="C30" t="s">
        <v>269</v>
      </c>
      <c r="D30" t="s">
        <v>529</v>
      </c>
      <c r="E30" t="s">
        <v>532</v>
      </c>
      <c r="F30">
        <v>2021</v>
      </c>
      <c r="G30" s="9">
        <v>9</v>
      </c>
      <c r="H30" s="9">
        <v>9</v>
      </c>
      <c r="I30" s="9">
        <v>9</v>
      </c>
      <c r="J30" s="9">
        <v>9</v>
      </c>
      <c r="K30" s="1">
        <f t="shared" si="0"/>
        <v>2024</v>
      </c>
      <c r="L30" s="30" t="str">
        <f t="shared" ca="1" si="1"/>
        <v>!</v>
      </c>
      <c r="M30" t="s">
        <v>533</v>
      </c>
    </row>
    <row r="31" spans="1:14" x14ac:dyDescent="0.2">
      <c r="A31" s="14" t="s">
        <v>590</v>
      </c>
      <c r="B31" s="5">
        <v>45902</v>
      </c>
      <c r="C31" t="s">
        <v>214</v>
      </c>
      <c r="D31" t="s">
        <v>529</v>
      </c>
      <c r="E31" s="4" t="s">
        <v>283</v>
      </c>
      <c r="F31">
        <v>2021</v>
      </c>
      <c r="G31" s="9">
        <v>14.08</v>
      </c>
      <c r="H31" s="9">
        <v>14.51</v>
      </c>
      <c r="I31" s="9">
        <v>15.14</v>
      </c>
      <c r="J31" s="9">
        <v>9.41</v>
      </c>
      <c r="K31" s="1">
        <f t="shared" si="0"/>
        <v>2024</v>
      </c>
      <c r="L31" s="30" t="str">
        <f t="shared" ca="1" si="1"/>
        <v>!</v>
      </c>
    </row>
    <row r="32" spans="1:14" x14ac:dyDescent="0.2">
      <c r="A32" s="14" t="s">
        <v>504</v>
      </c>
      <c r="B32" s="5">
        <v>45905</v>
      </c>
      <c r="C32" t="s">
        <v>214</v>
      </c>
      <c r="D32" t="s">
        <v>529</v>
      </c>
      <c r="E32" s="4" t="s">
        <v>273</v>
      </c>
      <c r="F32">
        <v>2023</v>
      </c>
      <c r="G32" s="9">
        <v>10.23</v>
      </c>
      <c r="H32" s="9">
        <v>10.43</v>
      </c>
      <c r="I32" s="9">
        <v>11.61</v>
      </c>
      <c r="J32" s="9">
        <v>9.84</v>
      </c>
      <c r="K32" s="1">
        <f t="shared" si="0"/>
        <v>2026</v>
      </c>
      <c r="L32" s="30" t="str">
        <f t="shared" ca="1" si="1"/>
        <v>!</v>
      </c>
      <c r="N32" s="14"/>
    </row>
    <row r="33" spans="1:13" x14ac:dyDescent="0.2">
      <c r="A33" s="14" t="s">
        <v>281</v>
      </c>
      <c r="B33" s="5">
        <v>45905</v>
      </c>
      <c r="C33" t="s">
        <v>214</v>
      </c>
      <c r="D33" t="s">
        <v>529</v>
      </c>
      <c r="E33" s="4" t="s">
        <v>278</v>
      </c>
      <c r="F33">
        <v>2025</v>
      </c>
      <c r="G33" s="9">
        <v>13.57</v>
      </c>
      <c r="H33" s="9">
        <v>11.76</v>
      </c>
      <c r="I33" s="9">
        <v>14.15</v>
      </c>
      <c r="J33" s="9">
        <v>14.54</v>
      </c>
      <c r="K33" s="1">
        <f t="shared" si="0"/>
        <v>2028</v>
      </c>
      <c r="L33" s="30" t="str">
        <f t="shared" ca="1" si="1"/>
        <v/>
      </c>
    </row>
    <row r="34" spans="1:13" x14ac:dyDescent="0.2">
      <c r="A34" s="14" t="s">
        <v>582</v>
      </c>
      <c r="B34" s="5">
        <v>46128</v>
      </c>
      <c r="C34" t="s">
        <v>214</v>
      </c>
      <c r="D34" t="s">
        <v>529</v>
      </c>
      <c r="E34" t="s">
        <v>583</v>
      </c>
      <c r="F34">
        <v>2024</v>
      </c>
      <c r="G34" s="9">
        <v>12.01</v>
      </c>
      <c r="H34" s="9">
        <v>11.17</v>
      </c>
      <c r="I34" s="9">
        <v>12.68</v>
      </c>
      <c r="J34" s="9">
        <v>11.29</v>
      </c>
      <c r="K34" s="1">
        <f t="shared" si="0"/>
        <v>2027</v>
      </c>
      <c r="L34" s="30" t="str">
        <f t="shared" ca="1" si="1"/>
        <v/>
      </c>
      <c r="M34" t="s">
        <v>642</v>
      </c>
    </row>
    <row r="35" spans="1:13" x14ac:dyDescent="0.2">
      <c r="A35" s="14" t="s">
        <v>321</v>
      </c>
      <c r="B35" s="5">
        <v>45823</v>
      </c>
      <c r="C35" t="s">
        <v>214</v>
      </c>
      <c r="D35" t="s">
        <v>529</v>
      </c>
      <c r="E35" t="s">
        <v>317</v>
      </c>
      <c r="F35">
        <v>2023</v>
      </c>
      <c r="G35" s="9">
        <v>13.38</v>
      </c>
      <c r="H35" s="9">
        <v>13.6</v>
      </c>
      <c r="I35" s="9">
        <v>12.46</v>
      </c>
      <c r="J35" s="9">
        <v>12.27</v>
      </c>
      <c r="K35" s="1">
        <f t="shared" si="0"/>
        <v>2026</v>
      </c>
      <c r="L35" s="30" t="str">
        <f t="shared" ca="1" si="1"/>
        <v>!</v>
      </c>
    </row>
    <row r="36" spans="1:13" x14ac:dyDescent="0.2">
      <c r="A36" s="14" t="s">
        <v>325</v>
      </c>
      <c r="B36" s="5">
        <v>45823</v>
      </c>
      <c r="C36" t="s">
        <v>214</v>
      </c>
      <c r="D36" t="s">
        <v>529</v>
      </c>
      <c r="E36" t="s">
        <v>322</v>
      </c>
      <c r="F36">
        <v>2025</v>
      </c>
      <c r="G36" s="9">
        <v>15.99</v>
      </c>
      <c r="H36" s="9">
        <v>11.93</v>
      </c>
      <c r="I36" s="9">
        <v>13.32</v>
      </c>
      <c r="J36" s="9">
        <v>11.43</v>
      </c>
      <c r="K36" s="1">
        <f t="shared" si="0"/>
        <v>2028</v>
      </c>
      <c r="L36" s="30" t="str">
        <f t="shared" ca="1" si="1"/>
        <v/>
      </c>
    </row>
    <row r="37" spans="1:13" x14ac:dyDescent="0.2">
      <c r="A37" s="14">
        <v>213250</v>
      </c>
      <c r="B37" s="5">
        <v>45797</v>
      </c>
      <c r="C37" t="s">
        <v>214</v>
      </c>
      <c r="D37" t="s">
        <v>529</v>
      </c>
      <c r="E37" t="s">
        <v>186</v>
      </c>
      <c r="F37">
        <v>2023</v>
      </c>
      <c r="G37" s="9">
        <v>10.130000000000001</v>
      </c>
      <c r="H37" s="9">
        <v>14.11</v>
      </c>
      <c r="I37" s="9">
        <v>9.92</v>
      </c>
      <c r="J37" s="9">
        <v>13.96</v>
      </c>
      <c r="K37" s="1">
        <f t="shared" si="0"/>
        <v>2026</v>
      </c>
      <c r="L37" s="30" t="str">
        <f t="shared" ca="1" si="1"/>
        <v>!</v>
      </c>
    </row>
    <row r="38" spans="1:13" x14ac:dyDescent="0.2">
      <c r="A38" s="14">
        <v>110723</v>
      </c>
      <c r="B38" s="5">
        <v>45796</v>
      </c>
      <c r="C38" t="s">
        <v>214</v>
      </c>
      <c r="D38" t="s">
        <v>529</v>
      </c>
      <c r="E38" t="s">
        <v>197</v>
      </c>
      <c r="F38">
        <v>2023</v>
      </c>
      <c r="G38" s="9">
        <v>13.06</v>
      </c>
      <c r="H38" s="9">
        <v>16.16</v>
      </c>
      <c r="I38" s="9">
        <v>8.35</v>
      </c>
      <c r="J38" s="9">
        <v>14.38</v>
      </c>
      <c r="K38" s="1">
        <f t="shared" si="0"/>
        <v>2026</v>
      </c>
      <c r="L38" s="30" t="str">
        <f t="shared" ca="1" si="1"/>
        <v>!</v>
      </c>
    </row>
    <row r="39" spans="1:13" x14ac:dyDescent="0.2">
      <c r="A39" s="14" t="s">
        <v>580</v>
      </c>
      <c r="B39" s="5">
        <v>46128</v>
      </c>
      <c r="C39" t="s">
        <v>214</v>
      </c>
      <c r="D39" t="s">
        <v>529</v>
      </c>
      <c r="E39" t="s">
        <v>460</v>
      </c>
      <c r="F39">
        <v>2024</v>
      </c>
      <c r="G39" s="9">
        <v>15.45</v>
      </c>
      <c r="H39" s="9">
        <v>13.97</v>
      </c>
      <c r="I39" s="9">
        <v>12.22</v>
      </c>
      <c r="J39" s="9">
        <v>11.16</v>
      </c>
      <c r="K39" s="1">
        <f t="shared" ref="K39:K70" si="2">IF(D39="A-Station",F39+3,"")</f>
        <v>2027</v>
      </c>
      <c r="L39" s="30" t="str">
        <f t="shared" ref="L39:L70" ca="1" si="3">IF(K39&lt;=YEAR(TODAY()),"!","")</f>
        <v/>
      </c>
    </row>
    <row r="40" spans="1:13" x14ac:dyDescent="0.2">
      <c r="A40" s="14">
        <v>171513</v>
      </c>
      <c r="B40" s="5">
        <v>45889</v>
      </c>
      <c r="C40" t="s">
        <v>214</v>
      </c>
      <c r="D40" t="s">
        <v>529</v>
      </c>
      <c r="E40" t="s">
        <v>576</v>
      </c>
      <c r="F40">
        <v>2022</v>
      </c>
      <c r="G40" s="9">
        <v>11.61</v>
      </c>
      <c r="H40" s="9">
        <v>11.59</v>
      </c>
      <c r="I40" s="9">
        <v>13.33</v>
      </c>
      <c r="J40" s="9">
        <v>11.5</v>
      </c>
      <c r="K40" s="1">
        <f t="shared" si="2"/>
        <v>2025</v>
      </c>
      <c r="L40" s="30" t="str">
        <f t="shared" ca="1" si="3"/>
        <v>!</v>
      </c>
    </row>
    <row r="41" spans="1:13" x14ac:dyDescent="0.2">
      <c r="A41" s="14" t="s">
        <v>260</v>
      </c>
      <c r="B41" s="5">
        <v>45908</v>
      </c>
      <c r="C41" t="s">
        <v>214</v>
      </c>
      <c r="D41" t="s">
        <v>529</v>
      </c>
      <c r="E41" t="s">
        <v>256</v>
      </c>
      <c r="F41">
        <v>2024</v>
      </c>
      <c r="G41" s="9">
        <v>14.47</v>
      </c>
      <c r="H41" s="9">
        <v>14.73</v>
      </c>
      <c r="I41" s="9">
        <v>10.46</v>
      </c>
      <c r="J41" s="9">
        <v>10.43</v>
      </c>
      <c r="K41" s="1">
        <f t="shared" si="2"/>
        <v>2027</v>
      </c>
      <c r="L41" s="30" t="str">
        <f t="shared" ca="1" si="3"/>
        <v/>
      </c>
    </row>
    <row r="42" spans="1:13" x14ac:dyDescent="0.2">
      <c r="A42" s="14" t="s">
        <v>270</v>
      </c>
      <c r="B42" s="5">
        <v>45906</v>
      </c>
      <c r="C42" t="s">
        <v>269</v>
      </c>
      <c r="D42" t="s">
        <v>529</v>
      </c>
      <c r="E42" t="s">
        <v>263</v>
      </c>
      <c r="F42">
        <v>2024</v>
      </c>
      <c r="G42" s="9">
        <v>11.91</v>
      </c>
      <c r="H42" s="9">
        <v>11.91</v>
      </c>
      <c r="I42" s="9">
        <v>11.91</v>
      </c>
      <c r="J42" s="9">
        <v>11.91</v>
      </c>
      <c r="K42" s="1">
        <f t="shared" si="2"/>
        <v>2027</v>
      </c>
      <c r="L42" s="30" t="str">
        <f t="shared" ca="1" si="3"/>
        <v/>
      </c>
    </row>
    <row r="43" spans="1:13" x14ac:dyDescent="0.2">
      <c r="A43" s="14" t="s">
        <v>423</v>
      </c>
      <c r="B43" s="5">
        <v>45422</v>
      </c>
      <c r="C43" t="s">
        <v>214</v>
      </c>
      <c r="D43" t="s">
        <v>529</v>
      </c>
      <c r="E43" t="s">
        <v>421</v>
      </c>
      <c r="F43">
        <v>2020</v>
      </c>
      <c r="G43" s="9">
        <v>15.72</v>
      </c>
      <c r="H43" s="9">
        <v>14.41</v>
      </c>
      <c r="I43" s="9">
        <v>11.08</v>
      </c>
      <c r="J43" s="9">
        <v>10.92</v>
      </c>
      <c r="K43" s="1">
        <f t="shared" si="2"/>
        <v>2023</v>
      </c>
      <c r="L43" s="30" t="str">
        <f t="shared" ca="1" si="3"/>
        <v>!</v>
      </c>
    </row>
    <row r="44" spans="1:13" x14ac:dyDescent="0.2">
      <c r="A44" s="14" t="s">
        <v>429</v>
      </c>
      <c r="B44" s="5">
        <v>45422</v>
      </c>
      <c r="C44" t="s">
        <v>269</v>
      </c>
      <c r="D44" t="s">
        <v>529</v>
      </c>
      <c r="E44" t="s">
        <v>426</v>
      </c>
      <c r="F44">
        <v>2023</v>
      </c>
      <c r="G44" s="9">
        <v>8.73</v>
      </c>
      <c r="H44" s="9">
        <v>8.73</v>
      </c>
      <c r="I44" s="9">
        <v>8.73</v>
      </c>
      <c r="J44" s="9">
        <v>8.73</v>
      </c>
      <c r="K44" s="1">
        <f t="shared" si="2"/>
        <v>2026</v>
      </c>
      <c r="L44" s="30" t="str">
        <f t="shared" ca="1" si="3"/>
        <v>!</v>
      </c>
    </row>
    <row r="45" spans="1:13" x14ac:dyDescent="0.2">
      <c r="A45" s="14">
        <v>233747</v>
      </c>
      <c r="B45" s="5">
        <v>45423</v>
      </c>
      <c r="C45" t="s">
        <v>214</v>
      </c>
      <c r="D45" t="s">
        <v>529</v>
      </c>
      <c r="E45" t="s">
        <v>410</v>
      </c>
      <c r="F45">
        <v>2023</v>
      </c>
      <c r="G45" s="9">
        <v>12.41</v>
      </c>
      <c r="H45" s="9">
        <v>11.04</v>
      </c>
      <c r="I45" s="9">
        <v>9.64</v>
      </c>
      <c r="J45" s="9">
        <v>9.94</v>
      </c>
      <c r="K45" s="1">
        <f t="shared" si="2"/>
        <v>2026</v>
      </c>
      <c r="L45" s="30" t="str">
        <f t="shared" ca="1" si="3"/>
        <v>!</v>
      </c>
    </row>
    <row r="46" spans="1:13" x14ac:dyDescent="0.2">
      <c r="A46" s="14">
        <v>213149</v>
      </c>
      <c r="B46" s="5">
        <v>45459</v>
      </c>
      <c r="C46" t="s">
        <v>214</v>
      </c>
      <c r="D46" t="s">
        <v>529</v>
      </c>
      <c r="E46" t="s">
        <v>89</v>
      </c>
      <c r="F46">
        <v>2021</v>
      </c>
      <c r="G46" s="9">
        <v>11.09</v>
      </c>
      <c r="H46" s="9">
        <v>12.61</v>
      </c>
      <c r="I46" s="9">
        <v>7.83</v>
      </c>
      <c r="J46" s="9">
        <v>9.6300000000000008</v>
      </c>
      <c r="K46" s="1">
        <f t="shared" si="2"/>
        <v>2024</v>
      </c>
      <c r="L46" s="30" t="str">
        <f t="shared" ca="1" si="3"/>
        <v>!</v>
      </c>
    </row>
    <row r="47" spans="1:13" x14ac:dyDescent="0.2">
      <c r="A47" s="14" t="s">
        <v>608</v>
      </c>
      <c r="B47" s="5">
        <v>46128</v>
      </c>
      <c r="C47" s="14" t="s">
        <v>214</v>
      </c>
      <c r="D47" t="s">
        <v>529</v>
      </c>
      <c r="E47" t="s">
        <v>444</v>
      </c>
      <c r="F47">
        <v>2021</v>
      </c>
      <c r="G47" s="9">
        <v>12.96</v>
      </c>
      <c r="H47" s="9">
        <v>13.34</v>
      </c>
      <c r="I47" s="9">
        <v>9.67</v>
      </c>
      <c r="J47" s="9">
        <v>9.09</v>
      </c>
      <c r="K47" s="1">
        <f t="shared" si="2"/>
        <v>2024</v>
      </c>
      <c r="L47" s="30" t="str">
        <f t="shared" ca="1" si="3"/>
        <v>!</v>
      </c>
    </row>
    <row r="48" spans="1:13" x14ac:dyDescent="0.2">
      <c r="A48" s="14" t="s">
        <v>607</v>
      </c>
      <c r="B48" s="5">
        <v>46128</v>
      </c>
      <c r="C48" s="14" t="s">
        <v>214</v>
      </c>
      <c r="D48" t="s">
        <v>529</v>
      </c>
      <c r="E48" t="s">
        <v>448</v>
      </c>
      <c r="F48">
        <v>2021</v>
      </c>
      <c r="G48" s="9">
        <v>13.52</v>
      </c>
      <c r="H48" s="9">
        <v>12.87</v>
      </c>
      <c r="I48" s="9">
        <v>14.55</v>
      </c>
      <c r="J48" s="9">
        <v>8.59</v>
      </c>
      <c r="K48" s="1">
        <f t="shared" si="2"/>
        <v>2024</v>
      </c>
      <c r="L48" s="30" t="str">
        <f t="shared" ca="1" si="3"/>
        <v>!</v>
      </c>
    </row>
    <row r="49" spans="1:27" x14ac:dyDescent="0.2">
      <c r="A49" s="14" t="s">
        <v>579</v>
      </c>
      <c r="B49" s="5">
        <v>46128</v>
      </c>
      <c r="C49" t="s">
        <v>214</v>
      </c>
      <c r="D49" t="s">
        <v>529</v>
      </c>
      <c r="E49" t="s">
        <v>502</v>
      </c>
      <c r="F49">
        <v>2022</v>
      </c>
      <c r="G49" s="9">
        <v>12.99</v>
      </c>
      <c r="H49" s="9">
        <v>14.88</v>
      </c>
      <c r="I49" s="9">
        <v>11.57</v>
      </c>
      <c r="J49" s="9">
        <v>14.37</v>
      </c>
      <c r="K49" s="1">
        <f t="shared" si="2"/>
        <v>2025</v>
      </c>
      <c r="L49" s="30" t="str">
        <f t="shared" ca="1" si="3"/>
        <v>!</v>
      </c>
    </row>
    <row r="50" spans="1:27" x14ac:dyDescent="0.2">
      <c r="A50" s="14" t="s">
        <v>224</v>
      </c>
      <c r="B50" s="5">
        <v>45769</v>
      </c>
      <c r="C50" t="s">
        <v>214</v>
      </c>
      <c r="D50" t="s">
        <v>529</v>
      </c>
      <c r="E50" t="s">
        <v>219</v>
      </c>
      <c r="F50">
        <v>2021</v>
      </c>
      <c r="G50" s="9">
        <v>12.94</v>
      </c>
      <c r="H50" s="9">
        <v>12.94</v>
      </c>
      <c r="I50" s="9">
        <v>8.51</v>
      </c>
      <c r="J50" s="9">
        <v>10.59</v>
      </c>
      <c r="K50" s="1">
        <f t="shared" si="2"/>
        <v>2024</v>
      </c>
      <c r="L50" s="30" t="str">
        <f t="shared" ca="1" si="3"/>
        <v>!</v>
      </c>
    </row>
    <row r="51" spans="1:27" x14ac:dyDescent="0.2">
      <c r="A51" s="14">
        <v>131451</v>
      </c>
      <c r="B51" s="5">
        <v>45776</v>
      </c>
      <c r="C51" t="s">
        <v>214</v>
      </c>
      <c r="D51" t="s">
        <v>529</v>
      </c>
      <c r="E51" t="s">
        <v>237</v>
      </c>
      <c r="F51">
        <v>2021</v>
      </c>
      <c r="G51" s="9">
        <v>15.89</v>
      </c>
      <c r="H51" s="9">
        <v>15.94</v>
      </c>
      <c r="I51" s="9">
        <v>10.92</v>
      </c>
      <c r="J51" s="9">
        <v>9.73</v>
      </c>
      <c r="K51" s="1">
        <f t="shared" si="2"/>
        <v>2024</v>
      </c>
      <c r="L51" s="30" t="str">
        <f t="shared" ca="1" si="3"/>
        <v>!</v>
      </c>
    </row>
    <row r="52" spans="1:27" x14ac:dyDescent="0.2">
      <c r="A52" s="14" t="s">
        <v>120</v>
      </c>
      <c r="B52" s="5">
        <v>46084</v>
      </c>
      <c r="C52" t="s">
        <v>214</v>
      </c>
      <c r="D52" t="s">
        <v>585</v>
      </c>
      <c r="E52" s="4" t="s">
        <v>561</v>
      </c>
      <c r="F52">
        <v>2026</v>
      </c>
      <c r="G52" s="9">
        <v>13.07</v>
      </c>
      <c r="H52" s="9">
        <v>13.3</v>
      </c>
      <c r="I52" s="9">
        <v>9.8699999999999992</v>
      </c>
      <c r="J52" s="9">
        <v>8.86</v>
      </c>
      <c r="K52" s="1" t="str">
        <f t="shared" si="2"/>
        <v/>
      </c>
      <c r="L52" s="30" t="str">
        <f t="shared" ca="1" si="3"/>
        <v/>
      </c>
    </row>
    <row r="53" spans="1:27" x14ac:dyDescent="0.2">
      <c r="A53" s="14" t="s">
        <v>115</v>
      </c>
      <c r="B53" s="5">
        <v>46084</v>
      </c>
      <c r="C53" t="s">
        <v>214</v>
      </c>
      <c r="D53" t="s">
        <v>585</v>
      </c>
      <c r="E53" s="4" t="s">
        <v>561</v>
      </c>
      <c r="F53">
        <v>2026</v>
      </c>
      <c r="G53" s="9">
        <v>12.51</v>
      </c>
      <c r="H53" s="9">
        <v>13.15</v>
      </c>
      <c r="I53" s="9">
        <v>9.94</v>
      </c>
      <c r="J53" s="9">
        <v>8.92</v>
      </c>
      <c r="K53" s="1" t="str">
        <f t="shared" si="2"/>
        <v/>
      </c>
      <c r="L53" s="30" t="str">
        <f t="shared" ca="1" si="3"/>
        <v/>
      </c>
    </row>
    <row r="54" spans="1:27" x14ac:dyDescent="0.2">
      <c r="A54" s="14" t="s">
        <v>151</v>
      </c>
      <c r="B54" s="5">
        <v>46128</v>
      </c>
      <c r="C54" t="s">
        <v>214</v>
      </c>
      <c r="D54" t="s">
        <v>585</v>
      </c>
      <c r="E54" s="4" t="s">
        <v>561</v>
      </c>
      <c r="F54">
        <v>2026</v>
      </c>
      <c r="G54" s="9">
        <v>14.26</v>
      </c>
      <c r="H54" s="9">
        <v>15.13</v>
      </c>
      <c r="I54" s="9">
        <v>9.6300000000000008</v>
      </c>
      <c r="J54" s="9">
        <v>9.77</v>
      </c>
      <c r="K54" s="1" t="str">
        <f t="shared" si="2"/>
        <v/>
      </c>
      <c r="L54" s="30" t="str">
        <f t="shared" ca="1" si="3"/>
        <v/>
      </c>
      <c r="M54" s="14"/>
      <c r="S54" s="14"/>
      <c r="T54" s="14"/>
      <c r="Z54" s="15"/>
      <c r="AA54" s="14"/>
    </row>
    <row r="55" spans="1:27" x14ac:dyDescent="0.2">
      <c r="A55" s="14" t="s">
        <v>189</v>
      </c>
      <c r="B55" s="5">
        <v>46128</v>
      </c>
      <c r="C55" t="s">
        <v>214</v>
      </c>
      <c r="D55" t="s">
        <v>585</v>
      </c>
      <c r="E55" s="4" t="s">
        <v>566</v>
      </c>
      <c r="F55">
        <v>2026</v>
      </c>
      <c r="G55" s="9">
        <v>16.86</v>
      </c>
      <c r="H55" s="9">
        <v>16.37</v>
      </c>
      <c r="I55" s="9">
        <v>9.16</v>
      </c>
      <c r="J55" s="9">
        <v>11.85</v>
      </c>
      <c r="K55" s="1" t="str">
        <f t="shared" si="2"/>
        <v/>
      </c>
      <c r="L55" s="30" t="str">
        <f t="shared" ca="1" si="3"/>
        <v/>
      </c>
      <c r="S55" s="14"/>
      <c r="T55" s="14"/>
      <c r="V55" s="9"/>
      <c r="W55" s="9"/>
      <c r="X55" s="9"/>
      <c r="Y55" s="9"/>
      <c r="Z55" s="15"/>
      <c r="AA55" s="14"/>
    </row>
    <row r="56" spans="1:27" x14ac:dyDescent="0.2">
      <c r="A56" s="14" t="s">
        <v>165</v>
      </c>
      <c r="B56" s="5">
        <v>46128</v>
      </c>
      <c r="C56" t="s">
        <v>214</v>
      </c>
      <c r="D56" t="s">
        <v>585</v>
      </c>
      <c r="E56" s="4" t="s">
        <v>566</v>
      </c>
      <c r="F56">
        <v>2026</v>
      </c>
      <c r="G56" s="9">
        <v>12.37</v>
      </c>
      <c r="H56" s="9">
        <v>13.64</v>
      </c>
      <c r="I56" s="9">
        <v>9.89</v>
      </c>
      <c r="J56" s="9">
        <v>12.22</v>
      </c>
      <c r="K56" s="1" t="str">
        <f t="shared" si="2"/>
        <v/>
      </c>
      <c r="L56" s="30" t="str">
        <f t="shared" ca="1" si="3"/>
        <v/>
      </c>
      <c r="S56" s="14"/>
      <c r="T56" s="14"/>
      <c r="V56" s="9"/>
      <c r="W56" s="9"/>
      <c r="X56" s="9"/>
      <c r="Y56" s="9"/>
      <c r="Z56" s="4"/>
      <c r="AA56" s="14"/>
    </row>
    <row r="57" spans="1:27" x14ac:dyDescent="0.2">
      <c r="A57" s="14" t="s">
        <v>484</v>
      </c>
      <c r="B57" s="5">
        <v>46128</v>
      </c>
      <c r="C57" t="s">
        <v>214</v>
      </c>
      <c r="D57" t="s">
        <v>585</v>
      </c>
      <c r="E57" s="4" t="s">
        <v>566</v>
      </c>
      <c r="F57">
        <v>2026</v>
      </c>
      <c r="G57" s="9">
        <v>12.5</v>
      </c>
      <c r="H57" s="9">
        <v>12.21</v>
      </c>
      <c r="I57" s="9">
        <v>9.19</v>
      </c>
      <c r="J57" s="9">
        <v>9.6300000000000008</v>
      </c>
      <c r="K57" s="1" t="str">
        <f t="shared" si="2"/>
        <v/>
      </c>
      <c r="L57" s="30" t="str">
        <f t="shared" ca="1" si="3"/>
        <v/>
      </c>
      <c r="S57" s="14"/>
      <c r="T57" s="14"/>
      <c r="V57" s="9"/>
      <c r="W57" s="9"/>
      <c r="X57" s="9"/>
      <c r="Y57" s="9"/>
      <c r="Z57" s="4"/>
      <c r="AA57" s="14"/>
    </row>
    <row r="58" spans="1:27" x14ac:dyDescent="0.2">
      <c r="A58" s="14" t="s">
        <v>158</v>
      </c>
      <c r="B58" s="5">
        <v>46128</v>
      </c>
      <c r="C58" t="s">
        <v>214</v>
      </c>
      <c r="D58" t="s">
        <v>585</v>
      </c>
      <c r="E58" s="4" t="s">
        <v>566</v>
      </c>
      <c r="F58">
        <v>2026</v>
      </c>
      <c r="G58" s="9">
        <v>11.92</v>
      </c>
      <c r="H58" s="9">
        <v>12.69</v>
      </c>
      <c r="I58" s="9">
        <v>9.31</v>
      </c>
      <c r="J58" s="9">
        <v>8.8000000000000007</v>
      </c>
      <c r="K58" s="1" t="str">
        <f t="shared" si="2"/>
        <v/>
      </c>
      <c r="L58" s="30" t="str">
        <f t="shared" ca="1" si="3"/>
        <v/>
      </c>
      <c r="S58" s="14"/>
      <c r="T58" s="14"/>
      <c r="V58" s="9"/>
      <c r="W58" s="9"/>
      <c r="X58" s="9"/>
      <c r="Y58" s="9"/>
      <c r="Z58" s="4"/>
      <c r="AA58" s="14"/>
    </row>
    <row r="59" spans="1:27" x14ac:dyDescent="0.2">
      <c r="A59" s="14" t="s">
        <v>601</v>
      </c>
      <c r="B59" s="5">
        <v>46128</v>
      </c>
      <c r="C59" t="s">
        <v>214</v>
      </c>
      <c r="D59" t="s">
        <v>585</v>
      </c>
      <c r="E59" s="4" t="s">
        <v>643</v>
      </c>
      <c r="F59">
        <v>2026</v>
      </c>
      <c r="G59" s="9">
        <v>11.52</v>
      </c>
      <c r="H59" s="9">
        <v>13.06</v>
      </c>
      <c r="I59" s="9">
        <v>9.1999999999999993</v>
      </c>
      <c r="J59" s="9">
        <v>10.53</v>
      </c>
      <c r="K59" s="1" t="str">
        <f t="shared" si="2"/>
        <v/>
      </c>
      <c r="L59" s="30" t="str">
        <f t="shared" ca="1" si="3"/>
        <v/>
      </c>
      <c r="S59" s="14"/>
      <c r="T59" s="14"/>
      <c r="V59" s="9"/>
      <c r="W59" s="9"/>
      <c r="X59" s="9"/>
      <c r="Y59" s="9"/>
      <c r="Z59" s="4"/>
      <c r="AA59" s="14"/>
    </row>
    <row r="60" spans="1:27" x14ac:dyDescent="0.2">
      <c r="A60" s="14" t="s">
        <v>406</v>
      </c>
      <c r="B60" s="5">
        <v>46128</v>
      </c>
      <c r="C60" t="s">
        <v>214</v>
      </c>
      <c r="D60" t="s">
        <v>585</v>
      </c>
      <c r="E60" s="4" t="s">
        <v>643</v>
      </c>
      <c r="F60">
        <v>2026</v>
      </c>
      <c r="G60" s="9">
        <v>13.61</v>
      </c>
      <c r="H60" s="9">
        <v>12.65</v>
      </c>
      <c r="I60" s="9">
        <v>9.2799999999999994</v>
      </c>
      <c r="J60" s="9">
        <v>9.76</v>
      </c>
      <c r="K60" s="1" t="str">
        <f t="shared" si="2"/>
        <v/>
      </c>
      <c r="L60" s="30" t="str">
        <f t="shared" ca="1" si="3"/>
        <v/>
      </c>
      <c r="R60" s="14"/>
      <c r="S60" s="14"/>
      <c r="T60" s="14"/>
      <c r="V60" s="9"/>
      <c r="W60" s="9"/>
      <c r="X60" s="9"/>
      <c r="Y60" s="9"/>
      <c r="Z60" s="4"/>
      <c r="AA60" s="14"/>
    </row>
    <row r="61" spans="1:27" x14ac:dyDescent="0.2">
      <c r="A61" s="14" t="s">
        <v>594</v>
      </c>
      <c r="B61" s="5">
        <v>46128</v>
      </c>
      <c r="C61" t="s">
        <v>214</v>
      </c>
      <c r="D61" t="s">
        <v>585</v>
      </c>
      <c r="E61" s="4" t="s">
        <v>595</v>
      </c>
      <c r="F61">
        <v>2026</v>
      </c>
      <c r="G61" s="9">
        <v>15.76</v>
      </c>
      <c r="H61" s="9">
        <v>12.25</v>
      </c>
      <c r="I61" s="9">
        <v>10.81</v>
      </c>
      <c r="J61" s="9">
        <v>11.19</v>
      </c>
      <c r="K61" s="1" t="str">
        <f t="shared" si="2"/>
        <v/>
      </c>
      <c r="L61" s="30" t="str">
        <f t="shared" ca="1" si="3"/>
        <v/>
      </c>
      <c r="S61" s="14"/>
      <c r="T61" s="14"/>
      <c r="V61" s="9"/>
      <c r="W61" s="9"/>
      <c r="X61" s="9"/>
      <c r="Y61" s="9"/>
      <c r="Z61" s="4"/>
      <c r="AA61" s="14"/>
    </row>
    <row r="62" spans="1:27" x14ac:dyDescent="0.2">
      <c r="A62" s="14">
        <v>202380</v>
      </c>
      <c r="B62" s="5">
        <v>46070</v>
      </c>
      <c r="C62" t="s">
        <v>214</v>
      </c>
      <c r="D62" t="s">
        <v>541</v>
      </c>
      <c r="E62" s="4" t="s">
        <v>542</v>
      </c>
      <c r="F62">
        <v>2026</v>
      </c>
      <c r="G62" s="9">
        <v>13.95</v>
      </c>
      <c r="H62" s="9">
        <v>11.88</v>
      </c>
      <c r="I62" s="9">
        <v>14.79</v>
      </c>
      <c r="J62" s="9">
        <v>12.02</v>
      </c>
      <c r="K62" s="1" t="str">
        <f t="shared" si="2"/>
        <v/>
      </c>
      <c r="L62" s="30" t="str">
        <f t="shared" ca="1" si="3"/>
        <v/>
      </c>
      <c r="R62" s="14"/>
      <c r="S62" s="14"/>
      <c r="T62" s="14"/>
      <c r="V62" s="9"/>
      <c r="W62" s="9"/>
      <c r="X62" s="9"/>
      <c r="Y62" s="9"/>
      <c r="Z62" s="4"/>
      <c r="AA62" s="14"/>
    </row>
    <row r="63" spans="1:27" x14ac:dyDescent="0.2">
      <c r="A63" s="14">
        <v>213148</v>
      </c>
      <c r="B63" s="5">
        <v>46070</v>
      </c>
      <c r="C63" t="s">
        <v>214</v>
      </c>
      <c r="D63" t="s">
        <v>541</v>
      </c>
      <c r="E63" s="4" t="s">
        <v>542</v>
      </c>
      <c r="F63">
        <v>2026</v>
      </c>
      <c r="G63" s="9">
        <v>12.1</v>
      </c>
      <c r="H63" s="9">
        <v>12.01</v>
      </c>
      <c r="I63" s="9">
        <v>9.08</v>
      </c>
      <c r="J63" s="9">
        <v>10.57</v>
      </c>
      <c r="K63" s="1" t="str">
        <f t="shared" si="2"/>
        <v/>
      </c>
      <c r="L63" s="30" t="str">
        <f t="shared" ca="1" si="3"/>
        <v/>
      </c>
      <c r="R63" s="14"/>
      <c r="S63" s="14"/>
      <c r="T63" s="14"/>
      <c r="V63" s="9"/>
      <c r="W63" s="9"/>
      <c r="X63" s="9"/>
      <c r="Y63" s="9"/>
      <c r="Z63" s="4"/>
      <c r="AA63" s="14"/>
    </row>
    <row r="64" spans="1:27" x14ac:dyDescent="0.2">
      <c r="A64" s="14" t="s">
        <v>554</v>
      </c>
      <c r="B64" s="5">
        <v>46070</v>
      </c>
      <c r="C64" t="s">
        <v>214</v>
      </c>
      <c r="D64" t="s">
        <v>541</v>
      </c>
      <c r="E64" s="4" t="s">
        <v>542</v>
      </c>
      <c r="F64">
        <v>2026</v>
      </c>
      <c r="G64" s="9">
        <v>14.78</v>
      </c>
      <c r="H64" s="9">
        <v>11.1</v>
      </c>
      <c r="I64" s="9">
        <v>10.89</v>
      </c>
      <c r="J64" s="9">
        <v>8.9700000000000006</v>
      </c>
      <c r="K64" s="1" t="str">
        <f t="shared" si="2"/>
        <v/>
      </c>
      <c r="L64" s="30" t="str">
        <f t="shared" ca="1" si="3"/>
        <v/>
      </c>
      <c r="S64" s="14"/>
      <c r="T64" s="14"/>
      <c r="V64" s="9"/>
      <c r="W64" s="9"/>
      <c r="X64" s="9"/>
      <c r="Y64" s="9"/>
      <c r="Z64" s="4"/>
      <c r="AA64" s="14"/>
    </row>
    <row r="65" spans="1:27" x14ac:dyDescent="0.2">
      <c r="A65" s="14" t="s">
        <v>409</v>
      </c>
      <c r="B65" s="5">
        <v>46070</v>
      </c>
      <c r="C65" t="s">
        <v>214</v>
      </c>
      <c r="D65" t="s">
        <v>541</v>
      </c>
      <c r="E65" s="4" t="s">
        <v>542</v>
      </c>
      <c r="F65">
        <v>2026</v>
      </c>
      <c r="G65" s="9">
        <v>14.41</v>
      </c>
      <c r="H65" s="9">
        <v>13.19</v>
      </c>
      <c r="I65" s="9">
        <v>10.4</v>
      </c>
      <c r="J65" s="9">
        <v>11.29</v>
      </c>
      <c r="K65" s="1" t="str">
        <f t="shared" si="2"/>
        <v/>
      </c>
      <c r="L65" s="30" t="str">
        <f t="shared" ca="1" si="3"/>
        <v/>
      </c>
      <c r="S65" s="14"/>
      <c r="T65" s="14"/>
      <c r="V65" s="9"/>
      <c r="W65" s="9"/>
      <c r="X65" s="9"/>
      <c r="Y65" s="9"/>
      <c r="Z65" s="4"/>
      <c r="AA65" s="14"/>
    </row>
    <row r="66" spans="1:27" x14ac:dyDescent="0.2">
      <c r="A66" s="14" t="s">
        <v>593</v>
      </c>
      <c r="B66" s="5">
        <v>46084</v>
      </c>
      <c r="C66" t="s">
        <v>214</v>
      </c>
      <c r="D66" t="s">
        <v>541</v>
      </c>
      <c r="E66" s="4" t="s">
        <v>542</v>
      </c>
      <c r="F66">
        <v>2026</v>
      </c>
      <c r="G66" s="9">
        <v>14.86</v>
      </c>
      <c r="H66" s="9">
        <v>12.77</v>
      </c>
      <c r="I66" s="9">
        <v>10.89</v>
      </c>
      <c r="J66" s="9">
        <v>11.7</v>
      </c>
      <c r="K66" s="1" t="str">
        <f t="shared" si="2"/>
        <v/>
      </c>
      <c r="L66" s="30" t="str">
        <f t="shared" ca="1" si="3"/>
        <v/>
      </c>
    </row>
    <row r="67" spans="1:27" x14ac:dyDescent="0.2">
      <c r="A67" s="14" t="s">
        <v>599</v>
      </c>
      <c r="B67" s="5">
        <v>46070</v>
      </c>
      <c r="C67" t="s">
        <v>214</v>
      </c>
      <c r="D67" t="s">
        <v>541</v>
      </c>
      <c r="E67" s="4" t="s">
        <v>542</v>
      </c>
      <c r="F67">
        <v>2026</v>
      </c>
      <c r="G67" s="9">
        <v>13.35</v>
      </c>
      <c r="H67" s="9">
        <v>11.8</v>
      </c>
      <c r="I67" s="9">
        <v>9.4</v>
      </c>
      <c r="J67" s="9">
        <v>9.7100000000000009</v>
      </c>
      <c r="K67" s="1" t="str">
        <f t="shared" si="2"/>
        <v/>
      </c>
      <c r="L67" s="30" t="str">
        <f t="shared" ca="1" si="3"/>
        <v/>
      </c>
    </row>
    <row r="68" spans="1:27" x14ac:dyDescent="0.2">
      <c r="A68" s="14" t="s">
        <v>603</v>
      </c>
      <c r="B68" s="5">
        <v>46084</v>
      </c>
      <c r="C68" t="s">
        <v>214</v>
      </c>
      <c r="D68" t="s">
        <v>541</v>
      </c>
      <c r="E68" s="4" t="s">
        <v>542</v>
      </c>
      <c r="F68">
        <v>2026</v>
      </c>
      <c r="G68" s="9">
        <v>13.86</v>
      </c>
      <c r="H68" s="9">
        <v>14.68</v>
      </c>
      <c r="I68" s="9">
        <v>9.4700000000000006</v>
      </c>
      <c r="J68" s="9">
        <v>9.81</v>
      </c>
      <c r="K68" s="1" t="str">
        <f t="shared" si="2"/>
        <v/>
      </c>
      <c r="L68" s="30" t="str">
        <f t="shared" ca="1" si="3"/>
        <v/>
      </c>
    </row>
    <row r="69" spans="1:27" x14ac:dyDescent="0.2">
      <c r="A69" s="14" t="s">
        <v>611</v>
      </c>
      <c r="B69" s="5">
        <v>46070</v>
      </c>
      <c r="C69" t="s">
        <v>214</v>
      </c>
      <c r="D69" t="s">
        <v>541</v>
      </c>
      <c r="E69" s="4" t="s">
        <v>542</v>
      </c>
      <c r="F69">
        <v>2025</v>
      </c>
      <c r="G69" s="9">
        <v>12.89</v>
      </c>
      <c r="H69" s="9">
        <v>12.95</v>
      </c>
      <c r="I69" s="9">
        <v>8.8699999999999992</v>
      </c>
      <c r="J69" s="9">
        <v>9.9499999999999993</v>
      </c>
      <c r="K69" s="1" t="str">
        <f t="shared" si="2"/>
        <v/>
      </c>
      <c r="L69" s="30" t="str">
        <f t="shared" ca="1" si="3"/>
        <v/>
      </c>
    </row>
    <row r="70" spans="1:27" x14ac:dyDescent="0.2">
      <c r="A70" s="14" t="s">
        <v>534</v>
      </c>
      <c r="B70" s="5">
        <v>46129</v>
      </c>
      <c r="C70" s="14" t="s">
        <v>269</v>
      </c>
      <c r="D70" t="s">
        <v>541</v>
      </c>
      <c r="E70" s="4" t="s">
        <v>542</v>
      </c>
      <c r="F70">
        <v>2024</v>
      </c>
      <c r="G70" s="9">
        <v>12.14</v>
      </c>
      <c r="H70" s="9">
        <v>12.14</v>
      </c>
      <c r="I70" s="9">
        <v>12.14</v>
      </c>
      <c r="J70" s="9">
        <v>12.14</v>
      </c>
      <c r="K70" s="1" t="str">
        <f t="shared" si="2"/>
        <v/>
      </c>
      <c r="L70" s="30" t="str">
        <f t="shared" ca="1" si="3"/>
        <v/>
      </c>
    </row>
    <row r="71" spans="1:27" x14ac:dyDescent="0.2">
      <c r="A71" s="26" t="s">
        <v>540</v>
      </c>
      <c r="B71" s="5">
        <v>46129</v>
      </c>
      <c r="C71" s="14" t="s">
        <v>269</v>
      </c>
      <c r="D71" t="s">
        <v>541</v>
      </c>
      <c r="E71" s="4" t="s">
        <v>542</v>
      </c>
      <c r="F71">
        <v>2024</v>
      </c>
      <c r="G71" s="9">
        <v>8.69</v>
      </c>
      <c r="H71" s="9">
        <v>8.69</v>
      </c>
      <c r="I71" s="9">
        <v>8.69</v>
      </c>
      <c r="J71" s="9">
        <v>8.69</v>
      </c>
      <c r="K71" s="1" t="str">
        <f t="shared" ref="K71:K79" si="4">IF(D71="A-Station",F71+3,"")</f>
        <v/>
      </c>
      <c r="L71" s="30" t="str">
        <f t="shared" ref="L71:L79" ca="1" si="5">IF(K71&lt;=YEAR(TODAY()),"!","")</f>
        <v/>
      </c>
    </row>
    <row r="72" spans="1:27" x14ac:dyDescent="0.2">
      <c r="A72" s="26" t="s">
        <v>507</v>
      </c>
      <c r="B72" s="5">
        <v>46129</v>
      </c>
      <c r="C72" s="14" t="s">
        <v>269</v>
      </c>
      <c r="D72" t="s">
        <v>541</v>
      </c>
      <c r="E72" s="4" t="s">
        <v>542</v>
      </c>
      <c r="F72">
        <v>2024</v>
      </c>
      <c r="G72" s="9">
        <v>12.19</v>
      </c>
      <c r="H72" s="9">
        <v>12.19</v>
      </c>
      <c r="I72" s="9">
        <v>12.19</v>
      </c>
      <c r="J72" s="9">
        <v>12.19</v>
      </c>
      <c r="K72" s="1" t="str">
        <f t="shared" si="4"/>
        <v/>
      </c>
      <c r="L72" s="30" t="str">
        <f t="shared" ca="1" si="5"/>
        <v/>
      </c>
      <c r="O72" s="15"/>
      <c r="P72" s="14"/>
    </row>
    <row r="73" spans="1:27" x14ac:dyDescent="0.2">
      <c r="A73" s="26" t="s">
        <v>587</v>
      </c>
      <c r="B73" s="5">
        <v>46128</v>
      </c>
      <c r="C73" t="s">
        <v>214</v>
      </c>
      <c r="D73" t="s">
        <v>549</v>
      </c>
      <c r="E73" s="4" t="s">
        <v>542</v>
      </c>
      <c r="F73">
        <v>2020</v>
      </c>
      <c r="G73" s="9">
        <v>15.32</v>
      </c>
      <c r="H73" s="9">
        <v>14.84</v>
      </c>
      <c r="I73" s="9">
        <v>10.51</v>
      </c>
      <c r="J73" s="9">
        <v>11.95</v>
      </c>
      <c r="K73" s="1" t="str">
        <f t="shared" si="4"/>
        <v/>
      </c>
      <c r="L73" s="30" t="str">
        <f t="shared" ca="1" si="5"/>
        <v/>
      </c>
      <c r="O73" s="15"/>
      <c r="P73" s="14"/>
    </row>
    <row r="74" spans="1:27" x14ac:dyDescent="0.2">
      <c r="A74" s="26" t="s">
        <v>464</v>
      </c>
      <c r="B74" s="5">
        <v>46129</v>
      </c>
      <c r="C74" s="14" t="s">
        <v>269</v>
      </c>
      <c r="D74" t="s">
        <v>549</v>
      </c>
      <c r="E74" s="4" t="s">
        <v>542</v>
      </c>
      <c r="F74">
        <v>2022</v>
      </c>
      <c r="G74" s="9">
        <v>8.27</v>
      </c>
      <c r="H74" s="9">
        <v>8.27</v>
      </c>
      <c r="I74" s="9">
        <v>8.27</v>
      </c>
      <c r="J74" s="9">
        <v>8.27</v>
      </c>
      <c r="K74" s="1" t="str">
        <f t="shared" si="4"/>
        <v/>
      </c>
      <c r="L74" s="30" t="str">
        <f t="shared" ca="1" si="5"/>
        <v/>
      </c>
    </row>
    <row r="75" spans="1:27" x14ac:dyDescent="0.2">
      <c r="A75" s="14" t="s">
        <v>546</v>
      </c>
      <c r="B75" s="5">
        <v>46129</v>
      </c>
      <c r="C75" s="14" t="s">
        <v>269</v>
      </c>
      <c r="D75" s="14" t="s">
        <v>544</v>
      </c>
      <c r="E75" s="4" t="s">
        <v>384</v>
      </c>
      <c r="F75">
        <v>2022</v>
      </c>
      <c r="G75" s="9">
        <v>12.08</v>
      </c>
      <c r="H75" s="9">
        <v>12.08</v>
      </c>
      <c r="I75" s="9">
        <v>12.08</v>
      </c>
      <c r="J75" s="9">
        <v>12.08</v>
      </c>
      <c r="K75" s="1" t="str">
        <f t="shared" si="4"/>
        <v/>
      </c>
      <c r="L75" s="30" t="str">
        <f t="shared" ca="1" si="5"/>
        <v/>
      </c>
    </row>
    <row r="76" spans="1:27" x14ac:dyDescent="0.2">
      <c r="A76" s="14" t="s">
        <v>543</v>
      </c>
      <c r="B76" s="5">
        <v>46129</v>
      </c>
      <c r="C76" s="14" t="s">
        <v>269</v>
      </c>
      <c r="D76" s="14" t="s">
        <v>544</v>
      </c>
      <c r="E76" s="4" t="s">
        <v>334</v>
      </c>
      <c r="F76">
        <v>2021</v>
      </c>
      <c r="G76" s="9">
        <v>9.75</v>
      </c>
      <c r="H76" s="9">
        <v>9.75</v>
      </c>
      <c r="I76" s="9">
        <v>9.75</v>
      </c>
      <c r="J76" s="9">
        <v>9.75</v>
      </c>
      <c r="K76" s="1" t="str">
        <f t="shared" si="4"/>
        <v/>
      </c>
      <c r="L76" s="30" t="str">
        <f t="shared" ca="1" si="5"/>
        <v/>
      </c>
      <c r="O76" s="6"/>
    </row>
    <row r="77" spans="1:27" x14ac:dyDescent="0.2">
      <c r="A77" s="26" t="s">
        <v>562</v>
      </c>
      <c r="B77" s="5">
        <v>46129</v>
      </c>
      <c r="C77" t="s">
        <v>214</v>
      </c>
      <c r="D77" t="s">
        <v>544</v>
      </c>
      <c r="E77" t="s">
        <v>379</v>
      </c>
      <c r="F77">
        <v>2019</v>
      </c>
      <c r="G77" s="9">
        <v>16.940000000000001</v>
      </c>
      <c r="H77" s="9">
        <v>10.77</v>
      </c>
      <c r="I77" s="9">
        <v>13.39</v>
      </c>
      <c r="J77" s="9">
        <v>11.97</v>
      </c>
      <c r="K77" s="1" t="str">
        <f t="shared" si="4"/>
        <v/>
      </c>
      <c r="L77" s="30" t="str">
        <f t="shared" ca="1" si="5"/>
        <v/>
      </c>
      <c r="O77" s="6"/>
    </row>
    <row r="78" spans="1:27" x14ac:dyDescent="0.2">
      <c r="A78" s="26" t="s">
        <v>569</v>
      </c>
      <c r="B78" s="5">
        <v>46129</v>
      </c>
      <c r="C78" t="s">
        <v>214</v>
      </c>
      <c r="D78" t="s">
        <v>544</v>
      </c>
      <c r="E78" t="s">
        <v>500</v>
      </c>
      <c r="F78">
        <v>2022</v>
      </c>
      <c r="G78" s="9">
        <v>11.64</v>
      </c>
      <c r="H78" s="9">
        <v>12.07</v>
      </c>
      <c r="I78" s="9">
        <v>10.47</v>
      </c>
      <c r="J78" s="9">
        <v>11.98</v>
      </c>
      <c r="K78" s="1" t="str">
        <f t="shared" si="4"/>
        <v/>
      </c>
      <c r="L78" s="30" t="str">
        <f t="shared" ca="1" si="5"/>
        <v/>
      </c>
      <c r="O78" s="6"/>
    </row>
    <row r="79" spans="1:27" x14ac:dyDescent="0.2">
      <c r="A79" s="26" t="s">
        <v>570</v>
      </c>
      <c r="B79" s="5">
        <v>46129</v>
      </c>
      <c r="C79" t="s">
        <v>214</v>
      </c>
      <c r="D79" t="s">
        <v>544</v>
      </c>
      <c r="E79" t="s">
        <v>382</v>
      </c>
      <c r="F79">
        <v>2019</v>
      </c>
      <c r="G79" s="9">
        <v>12.2</v>
      </c>
      <c r="H79" s="9">
        <v>11.15</v>
      </c>
      <c r="I79" s="9">
        <v>10.28</v>
      </c>
      <c r="J79" s="9">
        <v>8.24</v>
      </c>
      <c r="K79" s="1" t="str">
        <f t="shared" si="4"/>
        <v/>
      </c>
      <c r="L79" s="1" t="str">
        <f t="shared" ca="1" si="5"/>
        <v/>
      </c>
      <c r="O79" s="6"/>
    </row>
    <row r="80" spans="1:27" x14ac:dyDescent="0.2">
      <c r="A80" s="26" t="s">
        <v>343</v>
      </c>
      <c r="B80" s="5">
        <v>46129</v>
      </c>
      <c r="C80" t="s">
        <v>214</v>
      </c>
      <c r="D80" t="s">
        <v>544</v>
      </c>
      <c r="E80" t="s">
        <v>339</v>
      </c>
      <c r="F80">
        <v>2020</v>
      </c>
      <c r="G80" s="9">
        <v>13.29</v>
      </c>
      <c r="H80" s="9">
        <v>12.83</v>
      </c>
      <c r="I80" s="9">
        <v>13.79</v>
      </c>
      <c r="J80" s="9">
        <v>13.87</v>
      </c>
    </row>
    <row r="81" spans="1:28" x14ac:dyDescent="0.2">
      <c r="A81" s="26" t="s">
        <v>470</v>
      </c>
      <c r="B81" s="5">
        <v>46129</v>
      </c>
      <c r="C81" t="s">
        <v>214</v>
      </c>
      <c r="D81" t="s">
        <v>544</v>
      </c>
      <c r="E81" t="s">
        <v>469</v>
      </c>
      <c r="F81">
        <v>2020</v>
      </c>
      <c r="G81" s="9">
        <v>12</v>
      </c>
      <c r="H81" s="9">
        <v>18</v>
      </c>
      <c r="I81" s="9">
        <v>14.03</v>
      </c>
      <c r="J81" s="9">
        <v>11.63</v>
      </c>
    </row>
    <row r="82" spans="1:28" x14ac:dyDescent="0.2">
      <c r="A82" s="26">
        <v>202383</v>
      </c>
      <c r="B82" s="5">
        <v>46129</v>
      </c>
      <c r="C82" t="s">
        <v>214</v>
      </c>
      <c r="D82" t="s">
        <v>544</v>
      </c>
      <c r="E82" t="s">
        <v>535</v>
      </c>
      <c r="F82">
        <v>2023</v>
      </c>
      <c r="G82" s="9">
        <v>13.28</v>
      </c>
      <c r="H82" s="9">
        <v>12.87</v>
      </c>
      <c r="I82" s="9">
        <v>14.53</v>
      </c>
      <c r="J82" s="9">
        <v>11.45</v>
      </c>
    </row>
    <row r="83" spans="1:28" x14ac:dyDescent="0.2">
      <c r="A83" s="26" t="s">
        <v>199</v>
      </c>
      <c r="B83" s="5">
        <v>46129</v>
      </c>
      <c r="C83" t="s">
        <v>214</v>
      </c>
      <c r="D83" t="s">
        <v>644</v>
      </c>
      <c r="E83" t="s">
        <v>564</v>
      </c>
      <c r="F83">
        <v>2024</v>
      </c>
      <c r="G83" s="9">
        <v>12.63</v>
      </c>
      <c r="H83" s="9">
        <v>12.37</v>
      </c>
      <c r="I83" s="9">
        <v>9.2200000000000006</v>
      </c>
      <c r="J83" s="9">
        <v>9.5399999999999991</v>
      </c>
      <c r="K83" s="1" t="str">
        <f>IF(D83="A-Station",F83+3,"")</f>
        <v/>
      </c>
      <c r="L83" s="30" t="str">
        <f ca="1">IF(K83&lt;=YEAR(TODAY()),"!","")</f>
        <v/>
      </c>
      <c r="M83" t="s">
        <v>645</v>
      </c>
    </row>
    <row r="84" spans="1:28" x14ac:dyDescent="0.2">
      <c r="A84" s="26" t="s">
        <v>556</v>
      </c>
      <c r="B84" s="5">
        <v>46129</v>
      </c>
      <c r="C84" t="s">
        <v>214</v>
      </c>
      <c r="D84" t="s">
        <v>644</v>
      </c>
      <c r="E84" t="s">
        <v>557</v>
      </c>
      <c r="F84">
        <v>2011</v>
      </c>
      <c r="G84" s="9">
        <v>13.64</v>
      </c>
      <c r="H84" s="9">
        <v>12.44</v>
      </c>
      <c r="I84" s="9">
        <v>7.88</v>
      </c>
      <c r="J84" s="9">
        <v>8.1</v>
      </c>
      <c r="K84" s="1" t="str">
        <f>IF(D84="A-Station",F84+3,"")</f>
        <v/>
      </c>
      <c r="L84" s="30" t="str">
        <f ca="1">IF(K84&lt;=YEAR(TODAY()),"!","")</f>
        <v/>
      </c>
    </row>
    <row r="85" spans="1:28" x14ac:dyDescent="0.2">
      <c r="A85" s="14" t="s">
        <v>558</v>
      </c>
      <c r="B85" s="5">
        <v>46129</v>
      </c>
      <c r="C85" t="s">
        <v>214</v>
      </c>
      <c r="D85" t="s">
        <v>644</v>
      </c>
      <c r="E85" t="s">
        <v>557</v>
      </c>
      <c r="F85">
        <v>2012</v>
      </c>
      <c r="G85" s="9">
        <v>12.11</v>
      </c>
      <c r="H85" s="9">
        <v>12.29</v>
      </c>
      <c r="I85" s="9">
        <v>6.79</v>
      </c>
      <c r="J85" s="9">
        <v>9.91</v>
      </c>
      <c r="K85" s="1" t="str">
        <f>IF(D85="A-Station",F85+3,"")</f>
        <v/>
      </c>
      <c r="L85" s="30" t="str">
        <f ca="1">IF(K85&lt;=YEAR(TODAY()),"!","")</f>
        <v/>
      </c>
    </row>
    <row r="86" spans="1:28" x14ac:dyDescent="0.2">
      <c r="A86" s="14" t="s">
        <v>563</v>
      </c>
      <c r="B86" s="5">
        <v>46129</v>
      </c>
      <c r="C86" t="s">
        <v>214</v>
      </c>
      <c r="D86" t="s">
        <v>644</v>
      </c>
      <c r="E86" t="s">
        <v>564</v>
      </c>
      <c r="F86">
        <v>2024</v>
      </c>
      <c r="G86" s="9">
        <v>15.16</v>
      </c>
      <c r="H86" s="9">
        <v>14.82</v>
      </c>
      <c r="I86" s="9">
        <v>14.27</v>
      </c>
      <c r="J86" s="9">
        <v>8.41</v>
      </c>
      <c r="K86" s="1" t="str">
        <f>IF(D86="A-Station",F86+3,"")</f>
        <v/>
      </c>
      <c r="L86" s="30" t="str">
        <f ca="1">IF(K86&lt;=YEAR(TODAY()),"!","")</f>
        <v/>
      </c>
      <c r="M86" t="s">
        <v>565</v>
      </c>
    </row>
    <row r="87" spans="1:28" x14ac:dyDescent="0.2">
      <c r="A87" s="14" t="s">
        <v>567</v>
      </c>
      <c r="B87" s="5">
        <v>46129</v>
      </c>
      <c r="C87" t="s">
        <v>214</v>
      </c>
      <c r="D87" t="s">
        <v>644</v>
      </c>
      <c r="E87" t="s">
        <v>564</v>
      </c>
      <c r="F87">
        <v>2018</v>
      </c>
      <c r="G87" s="9">
        <v>13.96</v>
      </c>
      <c r="H87" s="9">
        <v>14.27</v>
      </c>
      <c r="I87" s="9">
        <v>7.97</v>
      </c>
      <c r="J87" s="9">
        <v>14.31</v>
      </c>
      <c r="K87" s="1" t="str">
        <f>IF(D87="A-Station",F87+3,"")</f>
        <v/>
      </c>
      <c r="L87" s="30" t="str">
        <f ca="1">IF(K87&lt;=YEAR(TODAY()),"!","")</f>
        <v/>
      </c>
      <c r="M87" t="s">
        <v>568</v>
      </c>
    </row>
    <row r="88" spans="1:28" x14ac:dyDescent="0.2">
      <c r="A88" s="14" t="s">
        <v>290</v>
      </c>
      <c r="B88" s="5">
        <v>46129</v>
      </c>
      <c r="C88" t="s">
        <v>214</v>
      </c>
      <c r="D88" t="s">
        <v>644</v>
      </c>
      <c r="E88" t="s">
        <v>564</v>
      </c>
      <c r="F88">
        <v>2024</v>
      </c>
      <c r="G88" s="9">
        <v>14</v>
      </c>
      <c r="H88" s="9">
        <v>12.71</v>
      </c>
      <c r="I88" s="9">
        <v>11.42</v>
      </c>
      <c r="J88" s="9">
        <v>11.84</v>
      </c>
      <c r="S88" s="14"/>
      <c r="T88" s="14"/>
      <c r="V88" s="9"/>
      <c r="W88" s="9"/>
      <c r="X88" s="9"/>
      <c r="Y88" s="9"/>
      <c r="Z88" s="15"/>
      <c r="AA88" s="14"/>
    </row>
    <row r="89" spans="1:28" x14ac:dyDescent="0.2">
      <c r="A89" s="14" t="s">
        <v>575</v>
      </c>
      <c r="B89" s="5">
        <v>46129</v>
      </c>
      <c r="C89" t="s">
        <v>214</v>
      </c>
      <c r="D89" t="s">
        <v>644</v>
      </c>
      <c r="E89" t="s">
        <v>564</v>
      </c>
      <c r="F89">
        <v>2023</v>
      </c>
      <c r="G89" s="9">
        <v>15.16</v>
      </c>
      <c r="H89" s="9">
        <v>13.07</v>
      </c>
      <c r="I89" s="9">
        <v>12</v>
      </c>
      <c r="J89" s="9">
        <v>10.86</v>
      </c>
      <c r="S89" s="17"/>
      <c r="T89" s="17"/>
      <c r="U89" s="18"/>
      <c r="V89" s="18"/>
      <c r="W89" s="18"/>
      <c r="X89" s="18"/>
      <c r="Y89" s="18"/>
      <c r="Z89" s="18"/>
      <c r="AA89" s="18"/>
      <c r="AB89" s="18"/>
    </row>
    <row r="90" spans="1:28" x14ac:dyDescent="0.2">
      <c r="A90" s="14" t="s">
        <v>244</v>
      </c>
      <c r="B90" s="5">
        <v>46129</v>
      </c>
      <c r="C90" t="s">
        <v>214</v>
      </c>
      <c r="D90" t="s">
        <v>644</v>
      </c>
      <c r="E90" t="s">
        <v>564</v>
      </c>
      <c r="F90">
        <v>2023</v>
      </c>
      <c r="G90" s="9">
        <v>13.22</v>
      </c>
      <c r="H90" s="9">
        <v>11.51</v>
      </c>
      <c r="I90" s="9">
        <v>10.53</v>
      </c>
      <c r="J90" s="9">
        <v>9.9600000000000009</v>
      </c>
      <c r="S90" s="14"/>
      <c r="T90" s="14"/>
      <c r="V90" s="9"/>
      <c r="W90" s="9"/>
      <c r="X90" s="9"/>
      <c r="Y90" s="9"/>
      <c r="Z90" s="15"/>
      <c r="AA90" s="14"/>
    </row>
    <row r="91" spans="1:28" x14ac:dyDescent="0.2">
      <c r="A91" s="14" t="s">
        <v>497</v>
      </c>
      <c r="B91" s="5">
        <v>46129</v>
      </c>
      <c r="C91" t="s">
        <v>214</v>
      </c>
      <c r="D91" t="s">
        <v>644</v>
      </c>
      <c r="E91" t="s">
        <v>564</v>
      </c>
      <c r="F91">
        <v>2024</v>
      </c>
      <c r="G91">
        <v>12.99</v>
      </c>
      <c r="H91" s="9">
        <v>13.14</v>
      </c>
      <c r="I91" s="9">
        <v>11.02</v>
      </c>
      <c r="J91" s="9">
        <v>9.75</v>
      </c>
      <c r="M91" t="s">
        <v>596</v>
      </c>
      <c r="S91" s="14"/>
      <c r="T91" s="14"/>
      <c r="V91" s="9"/>
      <c r="W91" s="9"/>
      <c r="X91" s="9"/>
      <c r="Y91" s="9"/>
      <c r="Z91" s="20"/>
      <c r="AA91" s="14"/>
    </row>
    <row r="92" spans="1:28" x14ac:dyDescent="0.2">
      <c r="A92" s="14" t="s">
        <v>536</v>
      </c>
      <c r="B92" s="5">
        <v>46129</v>
      </c>
      <c r="C92" s="14" t="s">
        <v>269</v>
      </c>
      <c r="D92" s="14" t="s">
        <v>537</v>
      </c>
      <c r="E92" s="4" t="s">
        <v>538</v>
      </c>
      <c r="F92">
        <v>2022</v>
      </c>
      <c r="G92" s="9">
        <v>11.38</v>
      </c>
      <c r="H92" s="9">
        <v>11.38</v>
      </c>
      <c r="I92" s="9">
        <v>11.38</v>
      </c>
      <c r="J92" s="9">
        <v>11.38</v>
      </c>
      <c r="K92" s="1" t="str">
        <f t="shared" ref="K92:K102" si="6">IF(D92="A-Station",F92+3,"")</f>
        <v/>
      </c>
      <c r="L92" s="30" t="str">
        <f t="shared" ref="L92:L102" ca="1" si="7">IF(K92&lt;=YEAR(TODAY()),"!","")</f>
        <v/>
      </c>
      <c r="M92" t="s">
        <v>539</v>
      </c>
      <c r="S92" s="14"/>
      <c r="T92" s="14"/>
      <c r="V92" s="9"/>
      <c r="W92" s="9"/>
      <c r="X92" s="9"/>
      <c r="Y92" s="9"/>
      <c r="Z92" s="20"/>
      <c r="AA92" s="14"/>
    </row>
    <row r="93" spans="1:28" x14ac:dyDescent="0.2">
      <c r="A93" s="14" t="s">
        <v>456</v>
      </c>
      <c r="B93" s="5">
        <v>46129</v>
      </c>
      <c r="C93" s="14" t="s">
        <v>269</v>
      </c>
      <c r="D93" s="14" t="s">
        <v>537</v>
      </c>
      <c r="E93" s="4" t="s">
        <v>538</v>
      </c>
      <c r="F93">
        <v>2023</v>
      </c>
      <c r="G93" s="9">
        <v>10.06</v>
      </c>
      <c r="H93" s="9">
        <v>10.06</v>
      </c>
      <c r="I93" s="9">
        <v>10.06</v>
      </c>
      <c r="J93" s="9">
        <v>10.06</v>
      </c>
      <c r="K93" s="1" t="str">
        <f t="shared" si="6"/>
        <v/>
      </c>
      <c r="L93" s="30" t="str">
        <f t="shared" ca="1" si="7"/>
        <v/>
      </c>
      <c r="M93" t="s">
        <v>539</v>
      </c>
      <c r="S93" s="14"/>
      <c r="T93" s="14"/>
      <c r="V93" s="9"/>
      <c r="W93" s="9"/>
      <c r="X93" s="9"/>
      <c r="Y93" s="9"/>
      <c r="Z93" s="15"/>
      <c r="AA93" s="14"/>
    </row>
    <row r="94" spans="1:28" x14ac:dyDescent="0.2">
      <c r="A94" s="14" t="s">
        <v>545</v>
      </c>
      <c r="B94" s="5">
        <v>46129</v>
      </c>
      <c r="C94" s="14" t="s">
        <v>269</v>
      </c>
      <c r="D94" s="14" t="s">
        <v>537</v>
      </c>
      <c r="E94" s="4" t="s">
        <v>538</v>
      </c>
      <c r="F94">
        <v>2024</v>
      </c>
      <c r="G94" s="9">
        <v>11.29</v>
      </c>
      <c r="H94" s="9">
        <v>11.29</v>
      </c>
      <c r="I94" s="9">
        <v>11.29</v>
      </c>
      <c r="J94" s="9">
        <v>11.29</v>
      </c>
      <c r="K94" s="1" t="str">
        <f t="shared" si="6"/>
        <v/>
      </c>
      <c r="L94" s="30" t="str">
        <f t="shared" ca="1" si="7"/>
        <v/>
      </c>
      <c r="M94" t="s">
        <v>539</v>
      </c>
      <c r="S94" s="14"/>
      <c r="T94" s="14"/>
      <c r="Z94" s="15"/>
      <c r="AA94" s="14"/>
    </row>
    <row r="95" spans="1:28" x14ac:dyDescent="0.2">
      <c r="A95" s="14" t="s">
        <v>374</v>
      </c>
      <c r="B95" s="5">
        <v>46129</v>
      </c>
      <c r="C95" s="14" t="s">
        <v>269</v>
      </c>
      <c r="D95" s="14" t="s">
        <v>537</v>
      </c>
      <c r="E95" s="4" t="s">
        <v>538</v>
      </c>
      <c r="F95">
        <v>2023</v>
      </c>
      <c r="G95" s="9">
        <v>8.65</v>
      </c>
      <c r="H95" s="9">
        <v>8.65</v>
      </c>
      <c r="I95" s="9">
        <v>8.65</v>
      </c>
      <c r="J95" s="9">
        <v>8.65</v>
      </c>
      <c r="K95" s="1" t="str">
        <f t="shared" si="6"/>
        <v/>
      </c>
      <c r="L95" s="30" t="str">
        <f t="shared" ca="1" si="7"/>
        <v/>
      </c>
      <c r="M95" t="s">
        <v>539</v>
      </c>
      <c r="S95" s="14"/>
      <c r="T95" s="14"/>
      <c r="V95" s="9"/>
      <c r="W95" s="9"/>
      <c r="X95" s="9"/>
      <c r="Y95" s="9"/>
      <c r="Z95" s="19"/>
      <c r="AA95" s="14"/>
    </row>
    <row r="96" spans="1:28" x14ac:dyDescent="0.2">
      <c r="A96" s="14" t="s">
        <v>550</v>
      </c>
      <c r="B96" s="5">
        <v>46129</v>
      </c>
      <c r="C96" s="14" t="s">
        <v>269</v>
      </c>
      <c r="D96" s="14" t="s">
        <v>537</v>
      </c>
      <c r="E96" s="4" t="s">
        <v>538</v>
      </c>
      <c r="F96">
        <v>2018</v>
      </c>
      <c r="G96" s="9">
        <v>11.73</v>
      </c>
      <c r="H96" s="9">
        <v>11.73</v>
      </c>
      <c r="I96" s="9">
        <v>11.73</v>
      </c>
      <c r="J96" s="9">
        <v>11.73</v>
      </c>
      <c r="K96" s="1" t="str">
        <f t="shared" si="6"/>
        <v/>
      </c>
      <c r="L96" s="30" t="str">
        <f t="shared" ca="1" si="7"/>
        <v/>
      </c>
      <c r="M96" t="s">
        <v>539</v>
      </c>
      <c r="S96" s="14"/>
      <c r="T96" s="14"/>
      <c r="V96" s="9"/>
      <c r="W96" s="9"/>
      <c r="X96" s="9"/>
      <c r="Y96" s="9"/>
      <c r="Z96" s="15"/>
      <c r="AA96" s="14"/>
    </row>
    <row r="97" spans="1:28" x14ac:dyDescent="0.2">
      <c r="A97" s="14" t="s">
        <v>551</v>
      </c>
      <c r="B97" s="5">
        <v>46129</v>
      </c>
      <c r="C97" s="14" t="s">
        <v>269</v>
      </c>
      <c r="D97" s="14" t="s">
        <v>537</v>
      </c>
      <c r="E97" s="4" t="s">
        <v>538</v>
      </c>
      <c r="F97">
        <v>2022</v>
      </c>
      <c r="G97" s="9">
        <v>10.1</v>
      </c>
      <c r="H97" s="9">
        <v>10.1</v>
      </c>
      <c r="I97" s="9">
        <v>10.1</v>
      </c>
      <c r="J97" s="9">
        <v>10.1</v>
      </c>
      <c r="K97" s="1" t="str">
        <f t="shared" si="6"/>
        <v/>
      </c>
      <c r="L97" s="30" t="str">
        <f t="shared" ca="1" si="7"/>
        <v/>
      </c>
      <c r="M97" t="s">
        <v>539</v>
      </c>
      <c r="S97" s="14"/>
      <c r="T97" s="14"/>
      <c r="V97" s="9"/>
      <c r="W97" s="9"/>
      <c r="X97" s="9"/>
      <c r="Y97" s="9"/>
      <c r="Z97" s="15"/>
      <c r="AA97" s="14"/>
    </row>
    <row r="98" spans="1:28" x14ac:dyDescent="0.2">
      <c r="A98" s="14" t="s">
        <v>552</v>
      </c>
      <c r="B98" s="5">
        <v>46129</v>
      </c>
      <c r="C98" s="14" t="s">
        <v>269</v>
      </c>
      <c r="D98" s="14" t="s">
        <v>537</v>
      </c>
      <c r="E98" s="4" t="s">
        <v>538</v>
      </c>
      <c r="F98">
        <v>2013</v>
      </c>
      <c r="K98" s="1" t="str">
        <f t="shared" si="6"/>
        <v/>
      </c>
      <c r="L98" s="30" t="str">
        <f t="shared" ca="1" si="7"/>
        <v/>
      </c>
      <c r="M98" t="s">
        <v>539</v>
      </c>
      <c r="S98" s="14"/>
      <c r="T98" s="14"/>
      <c r="V98" s="9"/>
      <c r="W98" s="9"/>
      <c r="X98" s="9"/>
      <c r="Y98" s="9"/>
      <c r="Z98" s="15"/>
      <c r="AA98" s="14"/>
    </row>
    <row r="99" spans="1:28" x14ac:dyDescent="0.2">
      <c r="A99" s="14" t="s">
        <v>553</v>
      </c>
      <c r="B99" s="5">
        <v>46129</v>
      </c>
      <c r="C99" s="14" t="s">
        <v>269</v>
      </c>
      <c r="D99" s="14" t="s">
        <v>537</v>
      </c>
      <c r="E99" s="4" t="s">
        <v>538</v>
      </c>
      <c r="F99">
        <v>2024</v>
      </c>
      <c r="G99" s="9">
        <v>11.75</v>
      </c>
      <c r="H99" s="9">
        <v>11.75</v>
      </c>
      <c r="I99" s="9">
        <v>11.75</v>
      </c>
      <c r="J99" s="9">
        <v>11.75</v>
      </c>
      <c r="K99" s="1" t="str">
        <f t="shared" si="6"/>
        <v/>
      </c>
      <c r="L99" s="30" t="str">
        <f t="shared" ca="1" si="7"/>
        <v/>
      </c>
      <c r="M99" t="s">
        <v>539</v>
      </c>
      <c r="S99" s="14"/>
      <c r="T99" s="14"/>
      <c r="V99" s="9"/>
      <c r="W99" s="9"/>
      <c r="X99" s="9"/>
      <c r="Y99" s="9"/>
      <c r="Z99" s="15"/>
      <c r="AA99" s="14"/>
    </row>
    <row r="100" spans="1:28" x14ac:dyDescent="0.2">
      <c r="A100" s="26" t="s">
        <v>551</v>
      </c>
      <c r="B100" s="5">
        <v>46129</v>
      </c>
      <c r="C100" s="14" t="s">
        <v>269</v>
      </c>
      <c r="D100" s="14" t="s">
        <v>537</v>
      </c>
      <c r="E100" s="4" t="s">
        <v>538</v>
      </c>
      <c r="F100">
        <v>2022</v>
      </c>
      <c r="G100" s="9">
        <v>10.1</v>
      </c>
      <c r="H100" s="9">
        <v>10.1</v>
      </c>
      <c r="I100" s="9">
        <v>10.1</v>
      </c>
      <c r="J100" s="9">
        <v>10.1</v>
      </c>
      <c r="K100" s="1" t="str">
        <f t="shared" si="6"/>
        <v/>
      </c>
      <c r="L100" s="30" t="str">
        <f t="shared" ca="1" si="7"/>
        <v/>
      </c>
      <c r="M100" t="s">
        <v>539</v>
      </c>
      <c r="S100" s="14"/>
      <c r="T100" s="14"/>
      <c r="V100" s="9"/>
      <c r="W100" s="9"/>
      <c r="X100" s="9"/>
      <c r="Y100" s="9"/>
      <c r="Z100" s="15"/>
      <c r="AA100" s="14"/>
    </row>
    <row r="101" spans="1:28" x14ac:dyDescent="0.2">
      <c r="A101" s="26" t="s">
        <v>378</v>
      </c>
      <c r="B101" s="5">
        <v>46129</v>
      </c>
      <c r="C101" s="14" t="s">
        <v>269</v>
      </c>
      <c r="D101" s="14" t="s">
        <v>537</v>
      </c>
      <c r="E101" s="4" t="s">
        <v>538</v>
      </c>
      <c r="F101">
        <v>2021</v>
      </c>
      <c r="G101" s="9">
        <v>9.65</v>
      </c>
      <c r="H101" s="9">
        <v>9.65</v>
      </c>
      <c r="I101" s="9">
        <v>9.65</v>
      </c>
      <c r="J101" s="9">
        <v>9.65</v>
      </c>
      <c r="K101" s="1" t="str">
        <f t="shared" si="6"/>
        <v/>
      </c>
      <c r="L101" s="30" t="str">
        <f t="shared" ca="1" si="7"/>
        <v/>
      </c>
      <c r="M101" t="s">
        <v>539</v>
      </c>
      <c r="S101" s="14"/>
      <c r="T101" s="14"/>
      <c r="V101" s="9"/>
      <c r="W101" s="9"/>
      <c r="X101" s="9"/>
      <c r="Y101" s="9"/>
      <c r="Z101" s="15"/>
      <c r="AA101" s="14"/>
    </row>
    <row r="102" spans="1:28" x14ac:dyDescent="0.2">
      <c r="A102" s="26" t="s">
        <v>547</v>
      </c>
      <c r="B102" s="5">
        <v>46129</v>
      </c>
      <c r="C102" s="14" t="s">
        <v>269</v>
      </c>
      <c r="D102" s="14" t="s">
        <v>537</v>
      </c>
      <c r="E102" s="14" t="s">
        <v>548</v>
      </c>
      <c r="F102">
        <v>2018</v>
      </c>
      <c r="G102" s="9">
        <v>8.5</v>
      </c>
      <c r="H102" s="9">
        <v>8.5</v>
      </c>
      <c r="I102" s="9">
        <v>8.5</v>
      </c>
      <c r="J102" s="9">
        <v>8.5</v>
      </c>
      <c r="K102" s="1" t="str">
        <f t="shared" si="6"/>
        <v/>
      </c>
      <c r="L102" s="30" t="str">
        <f t="shared" ca="1" si="7"/>
        <v/>
      </c>
      <c r="S102" s="14"/>
      <c r="T102" s="14"/>
      <c r="V102" s="9"/>
      <c r="W102" s="9"/>
      <c r="X102" s="9"/>
      <c r="Y102" s="9"/>
      <c r="Z102" s="15"/>
      <c r="AA102" s="14"/>
    </row>
    <row r="103" spans="1:28" x14ac:dyDescent="0.2">
      <c r="S103" s="14"/>
      <c r="T103" s="14"/>
      <c r="V103" s="9"/>
      <c r="W103" s="9"/>
      <c r="X103" s="9"/>
      <c r="Y103" s="9"/>
      <c r="Z103" s="15"/>
      <c r="AA103" s="14"/>
    </row>
    <row r="104" spans="1:28" x14ac:dyDescent="0.2">
      <c r="S104" s="19"/>
      <c r="T104" s="19"/>
      <c r="U104" s="21"/>
      <c r="V104" s="22"/>
      <c r="W104" s="22"/>
      <c r="X104" s="22"/>
      <c r="Y104" s="22"/>
      <c r="Z104" s="19"/>
      <c r="AA104" s="19"/>
      <c r="AB104" s="23"/>
    </row>
    <row r="105" spans="1:28" x14ac:dyDescent="0.2">
      <c r="S105" s="24"/>
      <c r="T105" s="24"/>
      <c r="U105" s="23"/>
      <c r="V105" s="25"/>
      <c r="W105" s="25"/>
      <c r="X105" s="25"/>
      <c r="Y105" s="25"/>
      <c r="Z105" s="15"/>
      <c r="AA105" s="24"/>
      <c r="AB105" s="23"/>
    </row>
    <row r="106" spans="1:28" x14ac:dyDescent="0.2">
      <c r="S106" s="14"/>
      <c r="T106" s="14"/>
      <c r="Z106" s="15"/>
      <c r="AA106" s="14"/>
    </row>
    <row r="107" spans="1:28" x14ac:dyDescent="0.2">
      <c r="S107" s="14"/>
      <c r="T107" s="14"/>
      <c r="W107" s="9"/>
      <c r="X107" s="9"/>
      <c r="Y107" s="9"/>
      <c r="Z107" s="15"/>
      <c r="AA107" s="14"/>
    </row>
    <row r="108" spans="1:28" x14ac:dyDescent="0.2">
      <c r="S108" s="14"/>
      <c r="T108" s="14"/>
      <c r="V108" s="9"/>
      <c r="W108" s="9"/>
      <c r="X108" s="9"/>
      <c r="Y108" s="9"/>
      <c r="Z108" s="15"/>
      <c r="AA108" s="14"/>
    </row>
  </sheetData>
  <sheetProtection formatCells="0" formatColumns="0" formatRows="0" insertColumns="0" insertRows="0" insertHyperlinks="0" deleteColumns="0" deleteRows="0" sort="0" autoFilter="0" pivotTables="0"/>
  <autoFilter ref="A6:M79" xr:uid="{1B74BA25-6A11-4D15-8496-F03949EFBB16}">
    <sortState xmlns:xlrd2="http://schemas.microsoft.com/office/spreadsheetml/2017/richdata2" ref="A7:M102">
      <sortCondition ref="D6:D79"/>
    </sortState>
  </autoFilter>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Readme</vt:lpstr>
      <vt:lpstr>Station Status</vt:lpstr>
      <vt:lpstr>Radiometers</vt:lpstr>
      <vt:lpstr>PTAs</vt:lpstr>
      <vt:lpstr>Archive -&gt;</vt:lpstr>
      <vt:lpstr>Radiometers EOS 2025</vt:lpstr>
    </vt:vector>
  </TitlesOfParts>
  <Manager/>
  <Company>Statens It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Ian Stevens</dc:creator>
  <cp:keywords/>
  <dc:description/>
  <cp:lastModifiedBy>Ian Stevens</cp:lastModifiedBy>
  <cp:revision/>
  <dcterms:created xsi:type="dcterms:W3CDTF">2025-11-13T06:54:38Z</dcterms:created>
  <dcterms:modified xsi:type="dcterms:W3CDTF">2026-09-17T14:02:22Z</dcterms:modified>
  <cp:category/>
  <cp:contentStatus/>
</cp:coreProperties>
</file>