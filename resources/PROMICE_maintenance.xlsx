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S_metadata" sheetId="1" r:id="rId5"/>
    <sheet state="visible" name="stations" sheetId="2" r:id="rId6"/>
    <sheet state="visible" name="Feuille 8" sheetId="3" r:id="rId7"/>
    <sheet state="visible" name="sites" sheetId="4" r:id="rId8"/>
    <sheet state="visible" name="Feuille 7" sheetId="5" r:id="rId9"/>
    <sheet state="visible" name="Feuille 4" sheetId="6" r:id="rId10"/>
    <sheet state="visible" name="maintenance" sheetId="7" r:id="rId11"/>
  </sheets>
  <definedNames>
    <definedName hidden="1" localSheetId="0" name="_xlnm._FilterDatabase">AWS_metadata!$A$1:$AG$1000</definedName>
    <definedName hidden="1" localSheetId="4" name="_xlnm._FilterDatabase">'Feuille 7'!$A$1:$Z$54</definedName>
    <definedName hidden="1" localSheetId="6" name="_xlnm._FilterDatabase">maintenance!$A$1:$AF$196</definedName>
    <definedName hidden="1" localSheetId="6" name="Z_34FD79FC_838B_48EC_848A_2BEC59C7DA00_.wvu.FilterData">maintenance!$A$1:$AF$79</definedName>
  </definedNames>
  <calcPr/>
  <customWorkbookViews>
    <customWorkbookView activeSheetId="0" maximized="1" windowHeight="0" windowWidth="0" guid="{34FD79FC-838B-48EC-848A-2BEC59C7DA00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tc={357186b1-033c-417a-b76d-e19ff8b148ce}</author>
    <author>tc={752d2edc-44dc-4215-98b1-f376f9096efe}</author>
    <author>tc={7b4e6e31-cdce-47ea-ae75-b4c725a3852a}</author>
    <author>tc={e20f5f8a-ee51-44dc-b79a-a46c274011d1}</author>
  </authors>
  <commentList>
    <comment authorId="0" xr:uid="{357186b1-033c-417a-b76d-e19ff8b148ce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arrival or departure?
</t>
      </text>
    </comment>
    <comment authorId="1" xr:uid="{752d2edc-44dc-4215-98b1-f376f9096efe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arrival or departure?
</t>
      </text>
    </comment>
    <comment authorId="2" xr:uid="{7b4e6e31-cdce-47ea-ae75-b4c725a3852a}" ref="H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at arrival or at departure?
Reply:
	There are two SR50s. Is this station or stake?
</t>
      </text>
    </comment>
    <comment authorId="3" xr:uid="{e20f5f8a-ee51-44dc-b79a-a46c274011d1}" ref="C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notes say "all out". Is this encoding that?
Reply:
	yes, I'm open to suggestions for the encoding
Reply:
	I'd use "OUT" and then df.replace('OUT', np.nan) in the code? Also, do you know your code can directly load Google Sheets as dataframes?
Reply:
	I'll use your suggestion. I like to be able to work offline if needed, so atm I download the "tsv" version of the file
Reply:
	I do
&gt;&gt;&gt; url='https://docs.google.com/spreadsheets/d/19WT3BOspQAI3p-r5LPUxIr3AY8jWlEuaf3M_jIT1Z8E/export?format=csv&amp;gid=0'
&gt;&gt;&gt; pd.read_csv(url).write_csv('local.csv')
to download (in code)
Reply:
	thanks!
</t>
      </text>
    </comment>
  </commentList>
</comments>
</file>

<file path=xl/sharedStrings.xml><?xml version="1.0" encoding="utf-8"?>
<sst xmlns="http://schemas.openxmlformats.org/spreadsheetml/2006/main" count="3306" uniqueCount="1418">
  <si>
    <t>stid</t>
  </si>
  <si>
    <t>station_type</t>
  </si>
  <si>
    <t>location_type</t>
  </si>
  <si>
    <t>date_installation</t>
  </si>
  <si>
    <t>last_valid_date</t>
  </si>
  <si>
    <t>lat_installation</t>
  </si>
  <si>
    <t>lon_installation</t>
  </si>
  <si>
    <t>alt_installation</t>
  </si>
  <si>
    <t>timestamp_last_known_coordinates</t>
  </si>
  <si>
    <t>lat_last_known</t>
  </si>
  <si>
    <t>lon_last_known</t>
  </si>
  <si>
    <t>alt_last_known</t>
  </si>
  <si>
    <t>is_ice_sheet</t>
  </si>
  <si>
    <t>UWN</t>
  </si>
  <si>
    <t>one boom</t>
  </si>
  <si>
    <t>not Greenland</t>
  </si>
  <si>
    <t>61.5587</t>
  </si>
  <si>
    <t>-7.7963</t>
  </si>
  <si>
    <t>992.0</t>
  </si>
  <si>
    <t>61.686178</t>
  </si>
  <si>
    <t>-7.197961</t>
  </si>
  <si>
    <t>LYN_T</t>
  </si>
  <si>
    <t>local glacier</t>
  </si>
  <si>
    <t>69.3043</t>
  </si>
  <si>
    <t>-53.5902</t>
  </si>
  <si>
    <t>940.3</t>
  </si>
  <si>
    <t>69.304264</t>
  </si>
  <si>
    <t>-53.590202</t>
  </si>
  <si>
    <t>942.1</t>
  </si>
  <si>
    <t>JAR_O</t>
  </si>
  <si>
    <t>ice sheet</t>
  </si>
  <si>
    <t>69.4948</t>
  </si>
  <si>
    <t>-49.6700</t>
  </si>
  <si>
    <t>925.7</t>
  </si>
  <si>
    <t>69.494661</t>
  </si>
  <si>
    <t>-49.670817</t>
  </si>
  <si>
    <t>925.3</t>
  </si>
  <si>
    <t>JAR</t>
  </si>
  <si>
    <t>69.4925</t>
  </si>
  <si>
    <t>-49.7184</t>
  </si>
  <si>
    <t>906.9</t>
  </si>
  <si>
    <t>69.492103</t>
  </si>
  <si>
    <t>-49.72078</t>
  </si>
  <si>
    <t>907.7</t>
  </si>
  <si>
    <t>ZAK_Uv3</t>
  </si>
  <si>
    <t>74.6434</t>
  </si>
  <si>
    <t>-21.4626</t>
  </si>
  <si>
    <t>868.3</t>
  </si>
  <si>
    <t>74.643352</t>
  </si>
  <si>
    <t>-21.462085</t>
  </si>
  <si>
    <t>862.9</t>
  </si>
  <si>
    <t>ZAK_L</t>
  </si>
  <si>
    <t>74.6251</t>
  </si>
  <si>
    <t>-21.3760</t>
  </si>
  <si>
    <t>653.4</t>
  </si>
  <si>
    <t>74.625</t>
  </si>
  <si>
    <t>-21.376</t>
  </si>
  <si>
    <t>659.15</t>
  </si>
  <si>
    <t>ZAK_U</t>
  </si>
  <si>
    <t>74.6242</t>
  </si>
  <si>
    <t>-21.3746</t>
  </si>
  <si>
    <t>633.4</t>
  </si>
  <si>
    <t>74.624099</t>
  </si>
  <si>
    <t>-21.374481</t>
  </si>
  <si>
    <t>630.4</t>
  </si>
  <si>
    <t>QAS_M</t>
  </si>
  <si>
    <t>61.0999</t>
  </si>
  <si>
    <t>-46.8329</t>
  </si>
  <si>
    <t>626.0</t>
  </si>
  <si>
    <t>61.109911</t>
  </si>
  <si>
    <t>-46.808667</t>
  </si>
  <si>
    <t>LYN_L</t>
  </si>
  <si>
    <t>69.3189</t>
  </si>
  <si>
    <t>-53.5439</t>
  </si>
  <si>
    <t>536.4</t>
  </si>
  <si>
    <t>69.318917</t>
  </si>
  <si>
    <t>-53.543726</t>
  </si>
  <si>
    <t>538.4</t>
  </si>
  <si>
    <t>Roof_GEUS</t>
  </si>
  <si>
    <t>two booms</t>
  </si>
  <si>
    <t>55.6885</t>
  </si>
  <si>
    <t>-12.5822</t>
  </si>
  <si>
    <t>30.0</t>
  </si>
  <si>
    <t>55.688568</t>
  </si>
  <si>
    <t>-12.582172</t>
  </si>
  <si>
    <t>TUN</t>
  </si>
  <si>
    <t>78.0191</t>
  </si>
  <si>
    <t>-33.9630</t>
  </si>
  <si>
    <t>2080.0</t>
  </si>
  <si>
    <t>78.019156</t>
  </si>
  <si>
    <t>-33.962452</t>
  </si>
  <si>
    <t>SDM</t>
  </si>
  <si>
    <t>63.1490</t>
  </si>
  <si>
    <t>-44.8174</t>
  </si>
  <si>
    <t>63.149001</t>
  </si>
  <si>
    <t>-44.817405</t>
  </si>
  <si>
    <t>NAE</t>
  </si>
  <si>
    <t>75.0024</t>
  </si>
  <si>
    <t>-29.9806</t>
  </si>
  <si>
    <t>75.00244</t>
  </si>
  <si>
    <t>-29.980349</t>
  </si>
  <si>
    <t>SDL</t>
  </si>
  <si>
    <t>66.0001</t>
  </si>
  <si>
    <t>-44.5026</t>
  </si>
  <si>
    <t>66.000158</t>
  </si>
  <si>
    <t>-44.502738</t>
  </si>
  <si>
    <t>NEM</t>
  </si>
  <si>
    <t>77.4414</t>
  </si>
  <si>
    <t>-51.0837</t>
  </si>
  <si>
    <t>77.441415</t>
  </si>
  <si>
    <t>-51.083777</t>
  </si>
  <si>
    <t>NSE</t>
  </si>
  <si>
    <t>66.4778</t>
  </si>
  <si>
    <t>-42.4937</t>
  </si>
  <si>
    <t>66.477634</t>
  </si>
  <si>
    <t>-42.493198</t>
  </si>
  <si>
    <t>NAU</t>
  </si>
  <si>
    <t>73.8406</t>
  </si>
  <si>
    <t>-49.5315</t>
  </si>
  <si>
    <t>73.840482</t>
  </si>
  <si>
    <t>-49.533584</t>
  </si>
  <si>
    <t>DY2</t>
  </si>
  <si>
    <t>66.4823</t>
  </si>
  <si>
    <t>-46.2933</t>
  </si>
  <si>
    <t>66.482377</t>
  </si>
  <si>
    <t>-46.29372</t>
  </si>
  <si>
    <t>WEG_B</t>
  </si>
  <si>
    <t>tundra</t>
  </si>
  <si>
    <t>71.1415</t>
  </si>
  <si>
    <t>-51.2221</t>
  </si>
  <si>
    <t>71.141461</t>
  </si>
  <si>
    <t>-51.22205</t>
  </si>
  <si>
    <t>Roof_PROMICE</t>
  </si>
  <si>
    <t>55.6886</t>
  </si>
  <si>
    <t>55.688569</t>
  </si>
  <si>
    <t>-12.582215</t>
  </si>
  <si>
    <t/>
  </si>
  <si>
    <t>HUM</t>
  </si>
  <si>
    <t>78.5288</t>
  </si>
  <si>
    <t>-56.8442</t>
  </si>
  <si>
    <t>78.528908</t>
  </si>
  <si>
    <t>-56.844491</t>
  </si>
  <si>
    <t>CP1</t>
  </si>
  <si>
    <t>69.8725</t>
  </si>
  <si>
    <t>-47.0364</t>
  </si>
  <si>
    <t>69.871876</t>
  </si>
  <si>
    <t>-47.040293</t>
  </si>
  <si>
    <t>EGP</t>
  </si>
  <si>
    <t>75.6</t>
  </si>
  <si>
    <t>-35.9</t>
  </si>
  <si>
    <t>75.626904</t>
  </si>
  <si>
    <t>-35.96927</t>
  </si>
  <si>
    <t>CEN1</t>
  </si>
  <si>
    <t>77.1826</t>
  </si>
  <si>
    <t>-61.1127</t>
  </si>
  <si>
    <t>77.181783</t>
  </si>
  <si>
    <t>-61.11583</t>
  </si>
  <si>
    <t>1888.8</t>
  </si>
  <si>
    <t>CEN2</t>
  </si>
  <si>
    <t>77.181974</t>
  </si>
  <si>
    <t>-61.115571</t>
  </si>
  <si>
    <t>1892.2</t>
  </si>
  <si>
    <t>KAN_U</t>
  </si>
  <si>
    <t>67.0003</t>
  </si>
  <si>
    <t>-47.0243</t>
  </si>
  <si>
    <t>67.000595</t>
  </si>
  <si>
    <t>-47.032157</t>
  </si>
  <si>
    <t>KAN_M</t>
  </si>
  <si>
    <t>67.0667</t>
  </si>
  <si>
    <t>-48.8327</t>
  </si>
  <si>
    <t>67.0680</t>
  </si>
  <si>
    <t>-48.8494</t>
  </si>
  <si>
    <t>1267.2</t>
  </si>
  <si>
    <t>SWC_O</t>
  </si>
  <si>
    <t>69.595409</t>
  </si>
  <si>
    <t>-49.279097</t>
  </si>
  <si>
    <t>69.595065</t>
  </si>
  <si>
    <t>-49.280343</t>
  </si>
  <si>
    <t>1163.6</t>
  </si>
  <si>
    <t>NUK_U</t>
  </si>
  <si>
    <t>64.511</t>
  </si>
  <si>
    <t>-49.2663</t>
  </si>
  <si>
    <t>64.509369</t>
  </si>
  <si>
    <t>-49.281127</t>
  </si>
  <si>
    <t>NUK_Uv3</t>
  </si>
  <si>
    <t>64.509268</t>
  </si>
  <si>
    <t>-49.283591</t>
  </si>
  <si>
    <t>1116.1</t>
  </si>
  <si>
    <t>SWC</t>
  </si>
  <si>
    <t>69.554205</t>
  </si>
  <si>
    <t>-49.369349</t>
  </si>
  <si>
    <t>69.552469</t>
  </si>
  <si>
    <t>-49.375868</t>
  </si>
  <si>
    <t>1119.8</t>
  </si>
  <si>
    <t>QAS_A</t>
  </si>
  <si>
    <t>61.243</t>
  </si>
  <si>
    <t>-46.7328</t>
  </si>
  <si>
    <t>SCO_U</t>
  </si>
  <si>
    <t>72.3937</t>
  </si>
  <si>
    <t>-27.2383</t>
  </si>
  <si>
    <t>72.416015</t>
  </si>
  <si>
    <t>-27.177577</t>
  </si>
  <si>
    <t>UPE_U</t>
  </si>
  <si>
    <t>72.8883</t>
  </si>
  <si>
    <t>-53.5715</t>
  </si>
  <si>
    <t>72.885425</t>
  </si>
  <si>
    <t>-53.613874</t>
  </si>
  <si>
    <t>912.8</t>
  </si>
  <si>
    <t>NUK_N</t>
  </si>
  <si>
    <t>64.9452</t>
  </si>
  <si>
    <t>-49.885</t>
  </si>
  <si>
    <t>QAS_U</t>
  </si>
  <si>
    <t>61.1758</t>
  </si>
  <si>
    <t>-46.819</t>
  </si>
  <si>
    <t>61.172536</t>
  </si>
  <si>
    <t>-46.822248</t>
  </si>
  <si>
    <t>884.1</t>
  </si>
  <si>
    <t>QAS_Uv3</t>
  </si>
  <si>
    <t>61.172593</t>
  </si>
  <si>
    <t>-46.822116</t>
  </si>
  <si>
    <t>886.5</t>
  </si>
  <si>
    <t>TAS_A</t>
  </si>
  <si>
    <t>65.7797</t>
  </si>
  <si>
    <t>-38.9008</t>
  </si>
  <si>
    <t>65.792721</t>
  </si>
  <si>
    <t>-38.909621</t>
  </si>
  <si>
    <t>KPC_U</t>
  </si>
  <si>
    <t>79.8345</t>
  </si>
  <si>
    <t>-25.1665</t>
  </si>
  <si>
    <t>79.835054</t>
  </si>
  <si>
    <t>-25.162033</t>
  </si>
  <si>
    <t>865.1</t>
  </si>
  <si>
    <t>KPC_Uv3</t>
  </si>
  <si>
    <t>79.834922</t>
  </si>
  <si>
    <t>-25.162375</t>
  </si>
  <si>
    <t>THU_U</t>
  </si>
  <si>
    <t>76.4197</t>
  </si>
  <si>
    <t>-68.146</t>
  </si>
  <si>
    <t>76.39303</t>
  </si>
  <si>
    <t>-68.26508</t>
  </si>
  <si>
    <t>571.8</t>
  </si>
  <si>
    <t>THU_U2</t>
  </si>
  <si>
    <t>76.390216</t>
  </si>
  <si>
    <t>-68.110388</t>
  </si>
  <si>
    <t>747.1</t>
  </si>
  <si>
    <t>NUK_K</t>
  </si>
  <si>
    <t>64.1623</t>
  </si>
  <si>
    <t>-51.3587</t>
  </si>
  <si>
    <t>64.162268</t>
  </si>
  <si>
    <t>-51.358683</t>
  </si>
  <si>
    <t>699.9</t>
  </si>
  <si>
    <t>KAN_L</t>
  </si>
  <si>
    <t>67.0957</t>
  </si>
  <si>
    <t>-49.9485</t>
  </si>
  <si>
    <t>67.093698</t>
  </si>
  <si>
    <t>-49.965717</t>
  </si>
  <si>
    <t>629.7</t>
  </si>
  <si>
    <t>TAS_U</t>
  </si>
  <si>
    <t>65.6978</t>
  </si>
  <si>
    <t>-38.8668</t>
  </si>
  <si>
    <t>THU_L</t>
  </si>
  <si>
    <t>76.3998</t>
  </si>
  <si>
    <t>-68.2662</t>
  </si>
  <si>
    <t>76.399845</t>
  </si>
  <si>
    <t>-68.26734</t>
  </si>
  <si>
    <t>564.6</t>
  </si>
  <si>
    <t>THU_L2</t>
  </si>
  <si>
    <t>76.393013</t>
  </si>
  <si>
    <t>-68.265087</t>
  </si>
  <si>
    <t>571.6</t>
  </si>
  <si>
    <t>NUK_L</t>
  </si>
  <si>
    <t>64.4822</t>
  </si>
  <si>
    <t>-49.5325</t>
  </si>
  <si>
    <t>64.483923</t>
  </si>
  <si>
    <t>-49.551223</t>
  </si>
  <si>
    <t>497.5</t>
  </si>
  <si>
    <t>SCO_L</t>
  </si>
  <si>
    <t>72.224</t>
  </si>
  <si>
    <t>-26.818</t>
  </si>
  <si>
    <t>72.233238</t>
  </si>
  <si>
    <t>-26.861097</t>
  </si>
  <si>
    <t>MIT</t>
  </si>
  <si>
    <t>65.6923</t>
  </si>
  <si>
    <t>-37.8277</t>
  </si>
  <si>
    <t>65.69195</t>
  </si>
  <si>
    <t>-37.82967</t>
  </si>
  <si>
    <t>430.8</t>
  </si>
  <si>
    <t>KPC_L</t>
  </si>
  <si>
    <t>79.9108</t>
  </si>
  <si>
    <t>-24.0832</t>
  </si>
  <si>
    <t>79.910796</t>
  </si>
  <si>
    <t>-24.080722</t>
  </si>
  <si>
    <t>361.5</t>
  </si>
  <si>
    <t>KPC_Lv3</t>
  </si>
  <si>
    <t>79.913878</t>
  </si>
  <si>
    <t>-24.093317</t>
  </si>
  <si>
    <t>373.4</t>
  </si>
  <si>
    <t>KAN_B</t>
  </si>
  <si>
    <t>67.1252</t>
  </si>
  <si>
    <t>-50.1832</t>
  </si>
  <si>
    <t>QAS_L</t>
  </si>
  <si>
    <t>61.0308</t>
  </si>
  <si>
    <t>-46.8488</t>
  </si>
  <si>
    <t>61.03049</t>
  </si>
  <si>
    <t>-46.84974</t>
  </si>
  <si>
    <t>252.7</t>
  </si>
  <si>
    <t>QAS_Lv3</t>
  </si>
  <si>
    <t>61.030471</t>
  </si>
  <si>
    <t>-46.849731</t>
  </si>
  <si>
    <t>248.3</t>
  </si>
  <si>
    <t>TAS_L</t>
  </si>
  <si>
    <t>65.6403</t>
  </si>
  <si>
    <t>-38.8987</t>
  </si>
  <si>
    <t>65.6393</t>
  </si>
  <si>
    <t>-38.899106</t>
  </si>
  <si>
    <t>234.6</t>
  </si>
  <si>
    <t>UPE_L</t>
  </si>
  <si>
    <t>72.8932</t>
  </si>
  <si>
    <t>-54.2953</t>
  </si>
  <si>
    <t>72.893368</t>
  </si>
  <si>
    <t>-54.29583</t>
  </si>
  <si>
    <t>200.9</t>
  </si>
  <si>
    <t>station_id</t>
  </si>
  <si>
    <t>project</t>
  </si>
  <si>
    <t>active</t>
  </si>
  <si>
    <t>PROMICE/GC-Net</t>
  </si>
  <si>
    <t>number_of_booms</t>
  </si>
  <si>
    <t>latitude_installation</t>
  </si>
  <si>
    <t>longitude_installation</t>
  </si>
  <si>
    <t>altitude_installation</t>
  </si>
  <si>
    <t>date_last_valid</t>
  </si>
  <si>
    <t>latitude_last_valid</t>
  </si>
  <si>
    <t>longitude_last_valid</t>
  </si>
  <si>
    <t>altitude_last_valid</t>
  </si>
  <si>
    <t>GC-Net</t>
  </si>
  <si>
    <t>77.181856</t>
  </si>
  <si>
    <t>-61.115329</t>
  </si>
  <si>
    <t>1892.26</t>
  </si>
  <si>
    <t>77.181784</t>
  </si>
  <si>
    <t>-61.11584</t>
  </si>
  <si>
    <t>1887.24</t>
  </si>
  <si>
    <t>77.181907</t>
  </si>
  <si>
    <t>-61.115458</t>
  </si>
  <si>
    <t>1891.94</t>
  </si>
  <si>
    <t>77.181945</t>
  </si>
  <si>
    <t>-61.115892</t>
  </si>
  <si>
    <t>1891.39</t>
  </si>
  <si>
    <t>69.872455</t>
  </si>
  <si>
    <t>-47.036378</t>
  </si>
  <si>
    <t>1939.63</t>
  </si>
  <si>
    <t>69.871187</t>
  </si>
  <si>
    <t>-47.044531</t>
  </si>
  <si>
    <t>1949.73</t>
  </si>
  <si>
    <t>66.482303</t>
  </si>
  <si>
    <t>-46.293301</t>
  </si>
  <si>
    <t>2121.35</t>
  </si>
  <si>
    <t>66.482583</t>
  </si>
  <si>
    <t>-46.294825</t>
  </si>
  <si>
    <t>2126.96</t>
  </si>
  <si>
    <t>75.624505</t>
  </si>
  <si>
    <t>-35.975228</t>
  </si>
  <si>
    <t>2663.0</t>
  </si>
  <si>
    <t>75.627778</t>
  </si>
  <si>
    <t>-35.967805</t>
  </si>
  <si>
    <t>FRE</t>
  </si>
  <si>
    <t>Glaciobasis</t>
  </si>
  <si>
    <t>74.387914</t>
  </si>
  <si>
    <t>-20.832835</t>
  </si>
  <si>
    <t>685.24</t>
  </si>
  <si>
    <t>74.388076</t>
  </si>
  <si>
    <t>-20.833249</t>
  </si>
  <si>
    <t>685.23</t>
  </si>
  <si>
    <t>78.528819</t>
  </si>
  <si>
    <t>-56.844173</t>
  </si>
  <si>
    <t>78.529089</t>
  </si>
  <si>
    <t>-56.845415</t>
  </si>
  <si>
    <t>1968.96</t>
  </si>
  <si>
    <t>69.492473</t>
  </si>
  <si>
    <t>-49.718344</t>
  </si>
  <si>
    <t>906.91</t>
  </si>
  <si>
    <t>69.492098</t>
  </si>
  <si>
    <t>-49.720788</t>
  </si>
  <si>
    <t>906.98</t>
  </si>
  <si>
    <t>69.494811</t>
  </si>
  <si>
    <t>-49.669973</t>
  </si>
  <si>
    <t>925.04</t>
  </si>
  <si>
    <t>69.494132</t>
  </si>
  <si>
    <t>-49.673717</t>
  </si>
  <si>
    <t>929.75</t>
  </si>
  <si>
    <t>PROMICE</t>
  </si>
  <si>
    <t>67.13</t>
  </si>
  <si>
    <t>-50.18</t>
  </si>
  <si>
    <t>350.0</t>
  </si>
  <si>
    <t>67.097324</t>
  </si>
  <si>
    <t>-49.931817</t>
  </si>
  <si>
    <t>678.73</t>
  </si>
  <si>
    <t>67.093275</t>
  </si>
  <si>
    <t>-49.969355</t>
  </si>
  <si>
    <t>626.85</t>
  </si>
  <si>
    <t>KAN_Lv3</t>
  </si>
  <si>
    <t>67.105073</t>
  </si>
  <si>
    <t>-49.930453</t>
  </si>
  <si>
    <t>684.56</t>
  </si>
  <si>
    <t>67.104802</t>
  </si>
  <si>
    <t>-49.933266</t>
  </si>
  <si>
    <t>687.14</t>
  </si>
  <si>
    <t>67.065724</t>
  </si>
  <si>
    <t>-48.816441</t>
  </si>
  <si>
    <t>1271.5</t>
  </si>
  <si>
    <t>67.068361</t>
  </si>
  <si>
    <t>-48.854642</t>
  </si>
  <si>
    <t>1264.84</t>
  </si>
  <si>
    <t>KAN_Tv3</t>
  </si>
  <si>
    <t>67.150853</t>
  </si>
  <si>
    <t>-50.035071</t>
  </si>
  <si>
    <t>503.74</t>
  </si>
  <si>
    <t>67.150897</t>
  </si>
  <si>
    <t>-50.035143</t>
  </si>
  <si>
    <t>501.53</t>
  </si>
  <si>
    <t>67.00016</t>
  </si>
  <si>
    <t>-47.016845</t>
  </si>
  <si>
    <t>1845.17</t>
  </si>
  <si>
    <t>67.000792</t>
  </si>
  <si>
    <t>-47.035866</t>
  </si>
  <si>
    <t>1847.73</t>
  </si>
  <si>
    <t>79.911001</t>
  </si>
  <si>
    <t>-24.085619</t>
  </si>
  <si>
    <t>377.0</t>
  </si>
  <si>
    <t>79.910777</t>
  </si>
  <si>
    <t>-24.080075</t>
  </si>
  <si>
    <t>359.51</t>
  </si>
  <si>
    <t>79.913872</t>
  </si>
  <si>
    <t>-24.093617</t>
  </si>
  <si>
    <t>377.94</t>
  </si>
  <si>
    <t>79.913875</t>
  </si>
  <si>
    <t>-24.093307</t>
  </si>
  <si>
    <t>372.98</t>
  </si>
  <si>
    <t>79.833905</t>
  </si>
  <si>
    <t>-25.17046</t>
  </si>
  <si>
    <t>867.13</t>
  </si>
  <si>
    <t>79.835192</t>
  </si>
  <si>
    <t>-25.161033</t>
  </si>
  <si>
    <t>867.78</t>
  </si>
  <si>
    <t>79.834868</t>
  </si>
  <si>
    <t>-25.162743</t>
  </si>
  <si>
    <t>869.96</t>
  </si>
  <si>
    <t>79.834921</t>
  </si>
  <si>
    <t>865.43</t>
  </si>
  <si>
    <t>GalcioBasis</t>
  </si>
  <si>
    <t>69.318918</t>
  </si>
  <si>
    <t>-53.543892</t>
  </si>
  <si>
    <t>536.92</t>
  </si>
  <si>
    <t>69.318941</t>
  </si>
  <si>
    <t>-53.54363</t>
  </si>
  <si>
    <t>540.32</t>
  </si>
  <si>
    <t>69.304271</t>
  </si>
  <si>
    <t>-53.590203</t>
  </si>
  <si>
    <t>940.13</t>
  </si>
  <si>
    <t>69.304269</t>
  </si>
  <si>
    <t>-53.590195</t>
  </si>
  <si>
    <t>943.75</t>
  </si>
  <si>
    <t>65.692564</t>
  </si>
  <si>
    <t>-37.825558</t>
  </si>
  <si>
    <t>465.42</t>
  </si>
  <si>
    <t>65.691902</t>
  </si>
  <si>
    <t>-37.830126</t>
  </si>
  <si>
    <t>427.04</t>
  </si>
  <si>
    <t>75.002423</t>
  </si>
  <si>
    <t>-29.980581</t>
  </si>
  <si>
    <t>2628.85</t>
  </si>
  <si>
    <t>75.002645</t>
  </si>
  <si>
    <t>-29.978598</t>
  </si>
  <si>
    <t>2628.15</t>
  </si>
  <si>
    <t>73.840557</t>
  </si>
  <si>
    <t>-49.531513</t>
  </si>
  <si>
    <t>73.840537</t>
  </si>
  <si>
    <t>-49.535937</t>
  </si>
  <si>
    <t>2337.34</t>
  </si>
  <si>
    <t>77.441379</t>
  </si>
  <si>
    <t>-51.083412</t>
  </si>
  <si>
    <t>2453.39</t>
  </si>
  <si>
    <t>77.441442</t>
  </si>
  <si>
    <t>-51.084265</t>
  </si>
  <si>
    <t>2456.73</t>
  </si>
  <si>
    <t>66.47778</t>
  </si>
  <si>
    <t>-42.493657</t>
  </si>
  <si>
    <t>66.477451</t>
  </si>
  <si>
    <t>-42.492724</t>
  </si>
  <si>
    <t>NUK_B</t>
  </si>
  <si>
    <t>64.461442</t>
  </si>
  <si>
    <t>-50.152746</t>
  </si>
  <si>
    <t>109.63</t>
  </si>
  <si>
    <t>64.461431</t>
  </si>
  <si>
    <t>-50.152734</t>
  </si>
  <si>
    <t>109.54</t>
  </si>
  <si>
    <t>64.162259</t>
  </si>
  <si>
    <t>-51.358664</t>
  </si>
  <si>
    <t>713.65</t>
  </si>
  <si>
    <t>64.162291</t>
  </si>
  <si>
    <t>-51.358672</t>
  </si>
  <si>
    <t>700.15</t>
  </si>
  <si>
    <t>64.481722</t>
  </si>
  <si>
    <t>-49.521593</t>
  </si>
  <si>
    <t>585.05</t>
  </si>
  <si>
    <t>64.48442</t>
  </si>
  <si>
    <t>-49.55577</t>
  </si>
  <si>
    <t>485.49</t>
  </si>
  <si>
    <t>64.945811</t>
  </si>
  <si>
    <t>-49.883669</t>
  </si>
  <si>
    <t>927.92</t>
  </si>
  <si>
    <t>64.945235</t>
  </si>
  <si>
    <t>-49.884955</t>
  </si>
  <si>
    <t>919.01</t>
  </si>
  <si>
    <t>NUK_P</t>
  </si>
  <si>
    <t>64.191094</t>
  </si>
  <si>
    <t>-51.694092</t>
  </si>
  <si>
    <t>54.75</t>
  </si>
  <si>
    <t>64.191089</t>
  </si>
  <si>
    <t>-51.694102</t>
  </si>
  <si>
    <t>51.23</t>
  </si>
  <si>
    <t>64.498732</t>
  </si>
  <si>
    <t>-49.258681</t>
  </si>
  <si>
    <t>1148.08</t>
  </si>
  <si>
    <t>64.509004</t>
  </si>
  <si>
    <t>-49.284246</t>
  </si>
  <si>
    <t>1113.04</t>
  </si>
  <si>
    <t>64.509921</t>
  </si>
  <si>
    <t>-49.278091</t>
  </si>
  <si>
    <t>1119.1</t>
  </si>
  <si>
    <t>64.508773</t>
  </si>
  <si>
    <t>-49.287741</t>
  </si>
  <si>
    <t>1114.97</t>
  </si>
  <si>
    <t>61.245371</t>
  </si>
  <si>
    <t>-46.733793</t>
  </si>
  <si>
    <t>1019.34</t>
  </si>
  <si>
    <t>61.243078</t>
  </si>
  <si>
    <t>-46.732765</t>
  </si>
  <si>
    <t>1003.79</t>
  </si>
  <si>
    <t>61.024202</t>
  </si>
  <si>
    <t>-46.872451</t>
  </si>
  <si>
    <t>280.79</t>
  </si>
  <si>
    <t>61.030344</t>
  </si>
  <si>
    <t>-46.849939</t>
  </si>
  <si>
    <t>233.94</t>
  </si>
  <si>
    <t>61.030711</t>
  </si>
  <si>
    <t>-46.849369</t>
  </si>
  <si>
    <t>244.25</t>
  </si>
  <si>
    <t>61.030616</t>
  </si>
  <si>
    <t>-46.849573</t>
  </si>
  <si>
    <t>236.7</t>
  </si>
  <si>
    <t>61.09988</t>
  </si>
  <si>
    <t>-46.833018</t>
  </si>
  <si>
    <t>625.72</t>
  </si>
  <si>
    <t>61.10973</t>
  </si>
  <si>
    <t>-46.808767</t>
  </si>
  <si>
    <t>671.65</t>
  </si>
  <si>
    <t>QAS_Mv3</t>
  </si>
  <si>
    <t>61.109963</t>
  </si>
  <si>
    <t>-46.808337</t>
  </si>
  <si>
    <t>676.61</t>
  </si>
  <si>
    <t>61.109661</t>
  </si>
  <si>
    <t>-46.808426</t>
  </si>
  <si>
    <t>676.75</t>
  </si>
  <si>
    <t>61.178867</t>
  </si>
  <si>
    <t>-46.816228</t>
  </si>
  <si>
    <t>908.53</t>
  </si>
  <si>
    <t>61.172328</t>
  </si>
  <si>
    <t>-46.822488</t>
  </si>
  <si>
    <t>883.33</t>
  </si>
  <si>
    <t>61.173567</t>
  </si>
  <si>
    <t>-46.820781</t>
  </si>
  <si>
    <t>888.78</t>
  </si>
  <si>
    <t>61.17181</t>
  </si>
  <si>
    <t>-46.822969</t>
  </si>
  <si>
    <t>883.89</t>
  </si>
  <si>
    <t>RED_Lv3</t>
  </si>
  <si>
    <t>76.925665</t>
  </si>
  <si>
    <t>-66.964929</t>
  </si>
  <si>
    <t>772.02</t>
  </si>
  <si>
    <t>76.925656</t>
  </si>
  <si>
    <t>-66.964866</t>
  </si>
  <si>
    <t>768.79</t>
  </si>
  <si>
    <t>72.229163</t>
  </si>
  <si>
    <t>-26.816532</t>
  </si>
  <si>
    <t>473.81</t>
  </si>
  <si>
    <t>72.216982</t>
  </si>
  <si>
    <t>-26.818631</t>
  </si>
  <si>
    <t>450.08</t>
  </si>
  <si>
    <t>SCO_Lv3</t>
  </si>
  <si>
    <t>72.21645</t>
  </si>
  <si>
    <t>-26.816416</t>
  </si>
  <si>
    <t>439.49</t>
  </si>
  <si>
    <t>72.216261</t>
  </si>
  <si>
    <t>-26.816384</t>
  </si>
  <si>
    <t>439.83</t>
  </si>
  <si>
    <t>72.394385</t>
  </si>
  <si>
    <t>-27.264289</t>
  </si>
  <si>
    <t>993.87</t>
  </si>
  <si>
    <t>72.392953</t>
  </si>
  <si>
    <t>-27.210727</t>
  </si>
  <si>
    <t>949.67</t>
  </si>
  <si>
    <t>SCO_Uv3</t>
  </si>
  <si>
    <t>72.391816</t>
  </si>
  <si>
    <t>-27.210211</t>
  </si>
  <si>
    <t>972.12</t>
  </si>
  <si>
    <t>72.391758</t>
  </si>
  <si>
    <t>-27.209391</t>
  </si>
  <si>
    <t>973.94</t>
  </si>
  <si>
    <t>66.000124</t>
  </si>
  <si>
    <t>-44.502621</t>
  </si>
  <si>
    <t>66.000203</t>
  </si>
  <si>
    <t>-44.502775</t>
  </si>
  <si>
    <t>2475.13</t>
  </si>
  <si>
    <t>63.148982</t>
  </si>
  <si>
    <t>-44.817362</t>
  </si>
  <si>
    <t>2892.27</t>
  </si>
  <si>
    <t>63.148916</t>
  </si>
  <si>
    <t>-44.817396</t>
  </si>
  <si>
    <t>2897.66</t>
  </si>
  <si>
    <t>SER_B</t>
  </si>
  <si>
    <t>bedrock</t>
  </si>
  <si>
    <t>65.679711</t>
  </si>
  <si>
    <t>-37.91736</t>
  </si>
  <si>
    <t>29.45</t>
  </si>
  <si>
    <t>65.679724</t>
  </si>
  <si>
    <t>-37.917361</t>
  </si>
  <si>
    <t>29.54</t>
  </si>
  <si>
    <t>69.554206</t>
  </si>
  <si>
    <t>-49.369306</t>
  </si>
  <si>
    <t>1121.4</t>
  </si>
  <si>
    <t>69.552446</t>
  </si>
  <si>
    <t>-49.375923</t>
  </si>
  <si>
    <t>1120.62</t>
  </si>
  <si>
    <t>69.595405</t>
  </si>
  <si>
    <t>-49.279096</t>
  </si>
  <si>
    <t>1165.96</t>
  </si>
  <si>
    <t>69.593893</t>
  </si>
  <si>
    <t>-49.284607</t>
  </si>
  <si>
    <t>1158.45</t>
  </si>
  <si>
    <t>65.780899</t>
  </si>
  <si>
    <t>-38.903294</t>
  </si>
  <si>
    <t>896.71</t>
  </si>
  <si>
    <t>65.773817</t>
  </si>
  <si>
    <t>-38.889643</t>
  </si>
  <si>
    <t>879.23</t>
  </si>
  <si>
    <t>TAS_Av3</t>
  </si>
  <si>
    <t>65.773748</t>
  </si>
  <si>
    <t>-38.889639</t>
  </si>
  <si>
    <t>877.03</t>
  </si>
  <si>
    <t>65.773662</t>
  </si>
  <si>
    <t>-38.889445</t>
  </si>
  <si>
    <t>878.76</t>
  </si>
  <si>
    <t>65.641699</t>
  </si>
  <si>
    <t>-38.898064</t>
  </si>
  <si>
    <t>273.94</t>
  </si>
  <si>
    <t>65.639061</t>
  </si>
  <si>
    <t>-38.899228</t>
  </si>
  <si>
    <t>230.1</t>
  </si>
  <si>
    <t>65.70129</t>
  </si>
  <si>
    <t>-38.865911</t>
  </si>
  <si>
    <t>575.4</t>
  </si>
  <si>
    <t>65.697866</t>
  </si>
  <si>
    <t>-38.866812</t>
  </si>
  <si>
    <t>567.92</t>
  </si>
  <si>
    <t>76.39984</t>
  </si>
  <si>
    <t>-68.265313</t>
  </si>
  <si>
    <t>577.15</t>
  </si>
  <si>
    <t>76.399859</t>
  </si>
  <si>
    <t>-68.267661</t>
  </si>
  <si>
    <t>562.23</t>
  </si>
  <si>
    <t>76.393024</t>
  </si>
  <si>
    <t>-68.26501</t>
  </si>
  <si>
    <t>573.41</t>
  </si>
  <si>
    <t>76.393034</t>
  </si>
  <si>
    <t>-68.265298</t>
  </si>
  <si>
    <t>573.22</t>
  </si>
  <si>
    <t>76.419623</t>
  </si>
  <si>
    <t>-68.144869</t>
  </si>
  <si>
    <t>764.61</t>
  </si>
  <si>
    <t>76.419697</t>
  </si>
  <si>
    <t>-68.147418</t>
  </si>
  <si>
    <t>759.04</t>
  </si>
  <si>
    <t>76.390387</t>
  </si>
  <si>
    <t>-68.109637</t>
  </si>
  <si>
    <t>743.76</t>
  </si>
  <si>
    <t>76.390208</t>
  </si>
  <si>
    <t>-68.110515</t>
  </si>
  <si>
    <t>745.83</t>
  </si>
  <si>
    <t>THU_U2v3</t>
  </si>
  <si>
    <t>76.390127</t>
  </si>
  <si>
    <t>-68.110687</t>
  </si>
  <si>
    <t>749.57</t>
  </si>
  <si>
    <t>76.390122</t>
  </si>
  <si>
    <t>-68.110777</t>
  </si>
  <si>
    <t>746.04</t>
  </si>
  <si>
    <t>78.01909</t>
  </si>
  <si>
    <t>-33.962973</t>
  </si>
  <si>
    <t>2078.72</t>
  </si>
  <si>
    <t>78.019393</t>
  </si>
  <si>
    <t>-33.960475</t>
  </si>
  <si>
    <t>2079.82</t>
  </si>
  <si>
    <t>72.893219</t>
  </si>
  <si>
    <t>-54.295084</t>
  </si>
  <si>
    <t>229.31</t>
  </si>
  <si>
    <t>72.893372</t>
  </si>
  <si>
    <t>-54.295909</t>
  </si>
  <si>
    <t>199.79</t>
  </si>
  <si>
    <t>72.891274</t>
  </si>
  <si>
    <t>-53.535554</t>
  </si>
  <si>
    <t>977.88</t>
  </si>
  <si>
    <t>72.884879</t>
  </si>
  <si>
    <t>-53.623244</t>
  </si>
  <si>
    <t>910.93</t>
  </si>
  <si>
    <t>61.683321</t>
  </si>
  <si>
    <t>7.210837</t>
  </si>
  <si>
    <t>607.08</t>
  </si>
  <si>
    <t>61.687201</t>
  </si>
  <si>
    <t>7.19283</t>
  </si>
  <si>
    <t>548.51</t>
  </si>
  <si>
    <t>Wegener</t>
  </si>
  <si>
    <t>71.141465</t>
  </si>
  <si>
    <t>-51.222045</t>
  </si>
  <si>
    <t>12.72</t>
  </si>
  <si>
    <t>71.14146</t>
  </si>
  <si>
    <t>-51.222054</t>
  </si>
  <si>
    <t>WEG_L</t>
  </si>
  <si>
    <t>71.205201</t>
  </si>
  <si>
    <t>-51.095619</t>
  </si>
  <si>
    <t>935.49</t>
  </si>
  <si>
    <t>71.204811</t>
  </si>
  <si>
    <t>-51.100753</t>
  </si>
  <si>
    <t>934.05</t>
  </si>
  <si>
    <t>ZAC_A</t>
  </si>
  <si>
    <t>GlacioBasis</t>
  </si>
  <si>
    <t>74.647556</t>
  </si>
  <si>
    <t>-21.652037</t>
  </si>
  <si>
    <t>1483.2</t>
  </si>
  <si>
    <t>74.647514</t>
  </si>
  <si>
    <t>-21.652026</t>
  </si>
  <si>
    <t>1482.64</t>
  </si>
  <si>
    <t>ZAC_Lv3</t>
  </si>
  <si>
    <t>74.624179</t>
  </si>
  <si>
    <t>-21.374451</t>
  </si>
  <si>
    <t>630.03</t>
  </si>
  <si>
    <t>74.624079</t>
  </si>
  <si>
    <t>-21.374295</t>
  </si>
  <si>
    <t>629.05</t>
  </si>
  <si>
    <t>ZAC_Uv3</t>
  </si>
  <si>
    <t>74.643398</t>
  </si>
  <si>
    <t>-21.462629</t>
  </si>
  <si>
    <t>868.32</t>
  </si>
  <si>
    <t>74.643252</t>
  </si>
  <si>
    <t>-21.461059</t>
  </si>
  <si>
    <t>864.82</t>
  </si>
  <si>
    <t>station  median_max_snow_height  median_annual_ablation  median_SWE_max</t>
  </si>
  <si>
    <t>0      JAR                 0.95430                0.661019        0.429435</t>
  </si>
  <si>
    <t>1    KAN_L                 0.36990                3.460666        0.166455</t>
  </si>
  <si>
    <t>2    KAN_M                 0.81130                0.619984        0.365085</t>
  </si>
  <si>
    <t>3    KAN_T                 2.05050                0.724155        0.922725</t>
  </si>
  <si>
    <t>4    KAN_U                 2.94530               -0.515996        1.325385</t>
  </si>
  <si>
    <t>5    KPC_L                 0.46020                1.749361        0.207090</t>
  </si>
  <si>
    <t>6    KPC_U                 0.78750                0.008895        0.354375</t>
  </si>
  <si>
    <t>7    NUK_L                 0.42505                5.098291        0.191273</t>
  </si>
  <si>
    <t>8    NUK_N                 0.70410                3.102486        0.316845</t>
  </si>
  <si>
    <t>9    NUK_U                 0.69360                1.235474        0.312120</t>
  </si>
  <si>
    <t>10   QAS_A                 2.13190                0.338190        0.959355</t>
  </si>
  <si>
    <t>11   QAS_L                 1.26920                5.032083        0.571140</t>
  </si>
  <si>
    <t>12   QAS_M                 2.19880                2.819958        0.989460</t>
  </si>
  <si>
    <t>13   QAS_U                 2.30980                0.741303        1.039410</t>
  </si>
  <si>
    <t>14   SCO_L                 0.43410                3.043890        0.195345</t>
  </si>
  <si>
    <t>15   SCO_U                 0.30750                1.919143        0.138375</t>
  </si>
  <si>
    <t>16     SWC                 1.26660               -0.078862        0.569970</t>
  </si>
  <si>
    <t>17   TAS_A                 1.64925                0.609897        0.742162</t>
  </si>
  <si>
    <t>18   TAS_L                 1.03110                3.027751        0.463995</t>
  </si>
  <si>
    <t>19   TAS_U                 1.49550                1.988698        0.672975</t>
  </si>
  <si>
    <t>20   THU_L                 0.50140                1.498837        0.225630</t>
  </si>
  <si>
    <t>21  THU_L2                 0.07375                1.542669        0.033188</t>
  </si>
  <si>
    <t>22   THU_U                 0.99420                0.153506        0.447390</t>
  </si>
  <si>
    <t>23   UPE_L                 0.61225                2.088147        0.275512</t>
  </si>
  <si>
    <t>24   UPE_U                 0.57130                1.216951        0.257085</t>
  </si>
  <si>
    <t>25   WEG_L                 0.91230               -0.067262        0.410535</t>
  </si>
  <si>
    <t>site_id</t>
  </si>
  <si>
    <t>stations</t>
  </si>
  <si>
    <t>CEN</t>
  </si>
  <si>
    <t>CEN2 CEN1 GITS</t>
  </si>
  <si>
    <t>77.1378</t>
  </si>
  <si>
    <t>-61.0411</t>
  </si>
  <si>
    <t>1872.01</t>
  </si>
  <si>
    <t>CP1 CrawfordPoint1</t>
  </si>
  <si>
    <t>69.881216</t>
  </si>
  <si>
    <t>-46.977476</t>
  </si>
  <si>
    <t>1959.76</t>
  </si>
  <si>
    <t>DY2 DYE-2</t>
  </si>
  <si>
    <t>66.479419</t>
  </si>
  <si>
    <t>-46.277815</t>
  </si>
  <si>
    <t>2114.92</t>
  </si>
  <si>
    <t>EGP EastGRIP</t>
  </si>
  <si>
    <t>75.583291</t>
  </si>
  <si>
    <t>-35.992863</t>
  </si>
  <si>
    <t>HUM Humboldt</t>
  </si>
  <si>
    <t>78.525542</t>
  </si>
  <si>
    <t>-56.830847</t>
  </si>
  <si>
    <t>1973.73</t>
  </si>
  <si>
    <t>JAR_O JAR JAR1</t>
  </si>
  <si>
    <t>69.498586</t>
  </si>
  <si>
    <t>-49.682</t>
  </si>
  <si>
    <t>932.21</t>
  </si>
  <si>
    <t>KAN_Lv3 KAN_L</t>
  </si>
  <si>
    <t>KAN_T</t>
  </si>
  <si>
    <t>KPC_Lv3 KPC_L</t>
  </si>
  <si>
    <t>KPC_Uv3 KPC_U</t>
  </si>
  <si>
    <t>NAE NASA-E</t>
  </si>
  <si>
    <t>74.999995</t>
  </si>
  <si>
    <t>-30.000935</t>
  </si>
  <si>
    <t>NAU NASA-U</t>
  </si>
  <si>
    <t>73.842035</t>
  </si>
  <si>
    <t>-49.492071</t>
  </si>
  <si>
    <t>2337.92</t>
  </si>
  <si>
    <t>NEM NEEM</t>
  </si>
  <si>
    <t>77.4413</t>
  </si>
  <si>
    <t>-51.0999</t>
  </si>
  <si>
    <t>2460.0</t>
  </si>
  <si>
    <t>NSE NASA-SE</t>
  </si>
  <si>
    <t>66.479796</t>
  </si>
  <si>
    <t>-42.500533</t>
  </si>
  <si>
    <t>NUK_Uv3 NUK_U</t>
  </si>
  <si>
    <t>QAS_Lv3 QAS_L</t>
  </si>
  <si>
    <t>QAS_Mv3 QAS_M</t>
  </si>
  <si>
    <t>QAS_Uv3 QAS_U</t>
  </si>
  <si>
    <t>SCO_Lv3 SCO_L</t>
  </si>
  <si>
    <t>SCO_Uv3 SCO_U</t>
  </si>
  <si>
    <t>SDL Saddle</t>
  </si>
  <si>
    <t>65.9999</t>
  </si>
  <si>
    <t>2451.0</t>
  </si>
  <si>
    <t>SDM SouthDome</t>
  </si>
  <si>
    <t>63.1489</t>
  </si>
  <si>
    <t>-44.8175</t>
  </si>
  <si>
    <t>2878.0</t>
  </si>
  <si>
    <t>SWC_O SWC SwissCamp SwissCamp10m</t>
  </si>
  <si>
    <t>69.574212</t>
  </si>
  <si>
    <t>-49.29431</t>
  </si>
  <si>
    <t>1155.42</t>
  </si>
  <si>
    <t>TAS_Av3 TAS_A</t>
  </si>
  <si>
    <t>THU_U2v3 THU_U2 THU_U</t>
  </si>
  <si>
    <t>TUN Tunu-N</t>
  </si>
  <si>
    <t>78.015985</t>
  </si>
  <si>
    <t>-33.988913</t>
  </si>
  <si>
    <t>ZAC_L</t>
  </si>
  <si>
    <t>ZAC_U</t>
  </si>
  <si>
    <t>-61.115894</t>
  </si>
  <si>
    <t>1891.16</t>
  </si>
  <si>
    <t>69.871178</t>
  </si>
  <si>
    <t>-47.044589</t>
  </si>
  <si>
    <t>66.482586</t>
  </si>
  <si>
    <t>-46.294839</t>
  </si>
  <si>
    <t>2126.94</t>
  </si>
  <si>
    <t>75.627788</t>
  </si>
  <si>
    <t>-35.967778</t>
  </si>
  <si>
    <t>2668.94</t>
  </si>
  <si>
    <t>685.25</t>
  </si>
  <si>
    <t>74.388077</t>
  </si>
  <si>
    <t>-20.833252</t>
  </si>
  <si>
    <t>685.21</t>
  </si>
  <si>
    <t>78.529091</t>
  </si>
  <si>
    <t>-56.845426</t>
  </si>
  <si>
    <t>1968.72</t>
  </si>
  <si>
    <t>69.494126</t>
  </si>
  <si>
    <t>-49.673756</t>
  </si>
  <si>
    <t>929.69</t>
  </si>
  <si>
    <t>67.104796</t>
  </si>
  <si>
    <t>-49.93333</t>
  </si>
  <si>
    <t>687.04</t>
  </si>
  <si>
    <t>67.068365</t>
  </si>
  <si>
    <t>-48.8547</t>
  </si>
  <si>
    <t>1264.82</t>
  </si>
  <si>
    <t>-50.035069</t>
  </si>
  <si>
    <t>503.78</t>
  </si>
  <si>
    <t>67.1509</t>
  </si>
  <si>
    <t>-50.035146</t>
  </si>
  <si>
    <t>501.19</t>
  </si>
  <si>
    <t>67.000793</t>
  </si>
  <si>
    <t>-47.035897</t>
  </si>
  <si>
    <t>1847.92</t>
  </si>
  <si>
    <t>-53.543628</t>
  </si>
  <si>
    <t>540.27</t>
  </si>
  <si>
    <t>65.691901</t>
  </si>
  <si>
    <t>-37.830133</t>
  </si>
  <si>
    <t>426.99</t>
  </si>
  <si>
    <t>75.002648</t>
  </si>
  <si>
    <t>-29.978577</t>
  </si>
  <si>
    <t>2627.99</t>
  </si>
  <si>
    <t>-49.535972</t>
  </si>
  <si>
    <t>-51.084272</t>
  </si>
  <si>
    <t>2456.62</t>
  </si>
  <si>
    <t>66.477449</t>
  </si>
  <si>
    <t>-42.492716</t>
  </si>
  <si>
    <t>64.461441</t>
  </si>
  <si>
    <t>-50.152747</t>
  </si>
  <si>
    <t>109.73</t>
  </si>
  <si>
    <t>64.461432</t>
  </si>
  <si>
    <t>-50.152733</t>
  </si>
  <si>
    <t>109.34</t>
  </si>
  <si>
    <t>64.162258</t>
  </si>
  <si>
    <t>-51.358665</t>
  </si>
  <si>
    <t>713.62</t>
  </si>
  <si>
    <t>64.162292</t>
  </si>
  <si>
    <t>-51.358671</t>
  </si>
  <si>
    <t>700.17</t>
  </si>
  <si>
    <t>64.484427</t>
  </si>
  <si>
    <t>-49.555833</t>
  </si>
  <si>
    <t>485.31</t>
  </si>
  <si>
    <t>64.191092</t>
  </si>
  <si>
    <t>-51.6941</t>
  </si>
  <si>
    <t>53.22</t>
  </si>
  <si>
    <t>64.191091</t>
  </si>
  <si>
    <t>-51.694093</t>
  </si>
  <si>
    <t>50.9</t>
  </si>
  <si>
    <t>64.508765</t>
  </si>
  <si>
    <t>-49.287802</t>
  </si>
  <si>
    <t>1114.88</t>
  </si>
  <si>
    <t>ORO</t>
  </si>
  <si>
    <t>56.127564</t>
  </si>
  <si>
    <t>-10.192973</t>
  </si>
  <si>
    <t>46.85</t>
  </si>
  <si>
    <t>56.127576</t>
  </si>
  <si>
    <t>-10.192972</t>
  </si>
  <si>
    <t>48.41</t>
  </si>
  <si>
    <t>61.030615</t>
  </si>
  <si>
    <t>-46.849575</t>
  </si>
  <si>
    <t>236.28</t>
  </si>
  <si>
    <t>61.109657</t>
  </si>
  <si>
    <t>-31.785655</t>
  </si>
  <si>
    <t>418.85</t>
  </si>
  <si>
    <t>61.1718</t>
  </si>
  <si>
    <t>-46.82298</t>
  </si>
  <si>
    <t>883.7</t>
  </si>
  <si>
    <t>72.216244</t>
  </si>
  <si>
    <t>-26.81638</t>
  </si>
  <si>
    <t>439.15</t>
  </si>
  <si>
    <t>72.391752</t>
  </si>
  <si>
    <t>-27.209312</t>
  </si>
  <si>
    <t>973.17</t>
  </si>
  <si>
    <t>66.000205</t>
  </si>
  <si>
    <t>-44.502778</t>
  </si>
  <si>
    <t>63.148917</t>
  </si>
  <si>
    <t>2897.59</t>
  </si>
  <si>
    <t>-37.917359</t>
  </si>
  <si>
    <t>29.76</t>
  </si>
  <si>
    <t>65.679725</t>
  </si>
  <si>
    <t>69.593877</t>
  </si>
  <si>
    <t>-49.284664</t>
  </si>
  <si>
    <t>1158.28</t>
  </si>
  <si>
    <t>896.73</t>
  </si>
  <si>
    <t>65.773648</t>
  </si>
  <si>
    <t>-38.889417</t>
  </si>
  <si>
    <t>877.38</t>
  </si>
  <si>
    <t>65.639057</t>
  </si>
  <si>
    <t>-38.899232</t>
  </si>
  <si>
    <t>229.96</t>
  </si>
  <si>
    <t>-68.267665</t>
  </si>
  <si>
    <t>562.22</t>
  </si>
  <si>
    <t>-68.2653</t>
  </si>
  <si>
    <t>573.21</t>
  </si>
  <si>
    <t>76.390121</t>
  </si>
  <si>
    <t>-68.110781</t>
  </si>
  <si>
    <t>745.53</t>
  </si>
  <si>
    <t>78.019395</t>
  </si>
  <si>
    <t>-33.960451</t>
  </si>
  <si>
    <t>2079.74</t>
  </si>
  <si>
    <t>199.76</t>
  </si>
  <si>
    <t>72.884872</t>
  </si>
  <si>
    <t>-53.623375</t>
  </si>
  <si>
    <t>910.87</t>
  </si>
  <si>
    <t>61.68333</t>
  </si>
  <si>
    <t>607.02</t>
  </si>
  <si>
    <t>61.687211</t>
  </si>
  <si>
    <t>7.192781</t>
  </si>
  <si>
    <t>548.29</t>
  </si>
  <si>
    <t>-51.095618</t>
  </si>
  <si>
    <t>935.58</t>
  </si>
  <si>
    <t>71.204807</t>
  </si>
  <si>
    <t>-51.100809</t>
  </si>
  <si>
    <t>933.95</t>
  </si>
  <si>
    <t>-21.374454</t>
  </si>
  <si>
    <t>630.35</t>
  </si>
  <si>
    <t>74.624078</t>
  </si>
  <si>
    <t>-21.374291</t>
  </si>
  <si>
    <t>628.79</t>
  </si>
  <si>
    <t>PROMICE active</t>
  </si>
  <si>
    <t>PROMICE decomissioned</t>
  </si>
  <si>
    <t>Other</t>
  </si>
  <si>
    <t>1886.0</t>
  </si>
  <si>
    <t>-61.115833</t>
  </si>
  <si>
    <t>1888.6</t>
  </si>
  <si>
    <t>77.181944</t>
  </si>
  <si>
    <t>-61.115762</t>
  </si>
  <si>
    <t>1897.4</t>
  </si>
  <si>
    <t>69.871381</t>
  </si>
  <si>
    <t>-47.043325</t>
  </si>
  <si>
    <t>66.482506</t>
  </si>
  <si>
    <t>-46.294537</t>
  </si>
  <si>
    <t>2700.0</t>
  </si>
  <si>
    <t>75.627574</t>
  </si>
  <si>
    <t>-35.96837</t>
  </si>
  <si>
    <t>74.388043</t>
  </si>
  <si>
    <t>-20.833196</t>
  </si>
  <si>
    <t>684.4</t>
  </si>
  <si>
    <t>78.529057</t>
  </si>
  <si>
    <t>-56.84512</t>
  </si>
  <si>
    <t>1971.0</t>
  </si>
  <si>
    <t>-49.720781</t>
  </si>
  <si>
    <t>907.6</t>
  </si>
  <si>
    <t>-49.67</t>
  </si>
  <si>
    <t>69.494279</t>
  </si>
  <si>
    <t>-49.672877</t>
  </si>
  <si>
    <t>929.1</t>
  </si>
  <si>
    <t>680.0</t>
  </si>
  <si>
    <t>67.093372</t>
  </si>
  <si>
    <t>-49.96857</t>
  </si>
  <si>
    <t>631.4</t>
  </si>
  <si>
    <t>67.104931</t>
  </si>
  <si>
    <t>-49.931934</t>
  </si>
  <si>
    <t>686.3</t>
  </si>
  <si>
    <t>1270.0</t>
  </si>
  <si>
    <t>67.068258</t>
  </si>
  <si>
    <t>-48.853231</t>
  </si>
  <si>
    <t>1272.3</t>
  </si>
  <si>
    <t>1840.0</t>
  </si>
  <si>
    <t>67.000784</t>
  </si>
  <si>
    <t>-47.035156</t>
  </si>
  <si>
    <t>1831.3</t>
  </si>
  <si>
    <t>370.0</t>
  </si>
  <si>
    <t>79.910788</t>
  </si>
  <si>
    <t>-24.080495</t>
  </si>
  <si>
    <t>363.3</t>
  </si>
  <si>
    <t>79.913879</t>
  </si>
  <si>
    <t>373.2</t>
  </si>
  <si>
    <t>870.0</t>
  </si>
  <si>
    <t>79.835159</t>
  </si>
  <si>
    <t>-25.161347</t>
  </si>
  <si>
    <t>869.3</t>
  </si>
  <si>
    <t>-25.162376</t>
  </si>
  <si>
    <t>866.0</t>
  </si>
  <si>
    <t>69.31894</t>
  </si>
  <si>
    <t>-53.543701</t>
  </si>
  <si>
    <t>539.8</t>
  </si>
  <si>
    <t>450.0</t>
  </si>
  <si>
    <t>65.691953</t>
  </si>
  <si>
    <t>-37.829813</t>
  </si>
  <si>
    <t>429.7</t>
  </si>
  <si>
    <t>75.002598</t>
  </si>
  <si>
    <t>-29.979037</t>
  </si>
  <si>
    <t>73.840562</t>
  </si>
  <si>
    <t>-49.535184</t>
  </si>
  <si>
    <t>66.477535</t>
  </si>
  <si>
    <t>-42.493035</t>
  </si>
  <si>
    <t>-50.152762</t>
  </si>
  <si>
    <t>110.8</t>
  </si>
  <si>
    <t>710.0</t>
  </si>
  <si>
    <t>64.162289</t>
  </si>
  <si>
    <t>-51.358695</t>
  </si>
  <si>
    <t>700.5</t>
  </si>
  <si>
    <t>540.0</t>
  </si>
  <si>
    <t>64.484281</t>
  </si>
  <si>
    <t>-49.554528</t>
  </si>
  <si>
    <t>487.6</t>
  </si>
  <si>
    <t>920.0</t>
  </si>
  <si>
    <t>1130.0</t>
  </si>
  <si>
    <t>64.508984</t>
  </si>
  <si>
    <t>-49.284386</t>
  </si>
  <si>
    <t>1118.9</t>
  </si>
  <si>
    <t>64.50891</t>
  </si>
  <si>
    <t>-49.286587</t>
  </si>
  <si>
    <t>1115.6</t>
  </si>
  <si>
    <t>1000.0</t>
  </si>
  <si>
    <t>280.0</t>
  </si>
  <si>
    <t>61.030428</t>
  </si>
  <si>
    <t>-46.849812</t>
  </si>
  <si>
    <t>238.0</t>
  </si>
  <si>
    <t>61.030639</t>
  </si>
  <si>
    <t>-46.849519</t>
  </si>
  <si>
    <t>240.8</t>
  </si>
  <si>
    <t>61.109904</t>
  </si>
  <si>
    <t>-46.808662</t>
  </si>
  <si>
    <t>677.2</t>
  </si>
  <si>
    <t>61.109801</t>
  </si>
  <si>
    <t>-46.808396</t>
  </si>
  <si>
    <t>676.5</t>
  </si>
  <si>
    <t>900.0</t>
  </si>
  <si>
    <t>61.172265</t>
  </si>
  <si>
    <t>-46.822544</t>
  </si>
  <si>
    <t>885.0</t>
  </si>
  <si>
    <t>61.172038</t>
  </si>
  <si>
    <t>-46.822694</t>
  </si>
  <si>
    <t>885.6</t>
  </si>
  <si>
    <t>55.688512</t>
  </si>
  <si>
    <t>12.582134</t>
  </si>
  <si>
    <t>55.688603</t>
  </si>
  <si>
    <t>12.582245</t>
  </si>
  <si>
    <t>470.0</t>
  </si>
  <si>
    <t>980.0</t>
  </si>
  <si>
    <t>66.000172</t>
  </si>
  <si>
    <t>-44.502665</t>
  </si>
  <si>
    <t>63.149</t>
  </si>
  <si>
    <t>1123.0</t>
  </si>
  <si>
    <t>69.552457</t>
  </si>
  <si>
    <t>-49.375911</t>
  </si>
  <si>
    <t>1119.9</t>
  </si>
  <si>
    <t>1167.0</t>
  </si>
  <si>
    <t>69.594222</t>
  </si>
  <si>
    <t>-49.283382</t>
  </si>
  <si>
    <t>1160.0</t>
  </si>
  <si>
    <t>890.0</t>
  </si>
  <si>
    <t>65.774442</t>
  </si>
  <si>
    <t>-38.890758</t>
  </si>
  <si>
    <t>880.3</t>
  </si>
  <si>
    <t>260.0</t>
  </si>
  <si>
    <t>65.63915</t>
  </si>
  <si>
    <t>-38.899192</t>
  </si>
  <si>
    <t>232.8</t>
  </si>
  <si>
    <t>570.0</t>
  </si>
  <si>
    <t>-68.267568</t>
  </si>
  <si>
    <t>562.0</t>
  </si>
  <si>
    <t>76.393028</t>
  </si>
  <si>
    <t>-68.265252</t>
  </si>
  <si>
    <t>574.9</t>
  </si>
  <si>
    <t>770.0</t>
  </si>
  <si>
    <t>76.390201</t>
  </si>
  <si>
    <t>-68.110542</t>
  </si>
  <si>
    <t>745.1</t>
  </si>
  <si>
    <t>-33.963</t>
  </si>
  <si>
    <t>78.019329</t>
  </si>
  <si>
    <t>-33.960979</t>
  </si>
  <si>
    <t>220.0</t>
  </si>
  <si>
    <t>72.893384</t>
  </si>
  <si>
    <t>-54.295815</t>
  </si>
  <si>
    <t>201.8</t>
  </si>
  <si>
    <t>940.0</t>
  </si>
  <si>
    <t>72.885061</t>
  </si>
  <si>
    <t>-53.620501</t>
  </si>
  <si>
    <t>911.8</t>
  </si>
  <si>
    <t>61.685615</t>
  </si>
  <si>
    <t>7.198225</t>
  </si>
  <si>
    <t>550.4</t>
  </si>
  <si>
    <t>71.141459</t>
  </si>
  <si>
    <t>71.204893</t>
  </si>
  <si>
    <t>-51.099577</t>
  </si>
  <si>
    <t>934.2</t>
  </si>
  <si>
    <t>ZAK_A</t>
  </si>
  <si>
    <t>74.647513</t>
  </si>
  <si>
    <t>-21.652027</t>
  </si>
  <si>
    <t>1480.3</t>
  </si>
  <si>
    <t>1480.2</t>
  </si>
  <si>
    <t>ZAK_Lv3</t>
  </si>
  <si>
    <t>74.624109</t>
  </si>
  <si>
    <t>-21.374339</t>
  </si>
  <si>
    <t>631.6</t>
  </si>
  <si>
    <t>74.643258</t>
  </si>
  <si>
    <t>-21.461203</t>
  </si>
  <si>
    <t>863.0</t>
  </si>
  <si>
    <t>Date visit</t>
  </si>
  <si>
    <t>Station</t>
  </si>
  <si>
    <t>Length of thermistor string on surface from surface marking</t>
  </si>
  <si>
    <t>depth_new_thermistor_m</t>
  </si>
  <si>
    <t>Note</t>
  </si>
  <si>
    <t>depth_ablation_hose_arrival_m</t>
  </si>
  <si>
    <t>depth_ablation_hose_departure_m</t>
  </si>
  <si>
    <t>height_SR50_AWS_arrival_cm</t>
  </si>
  <si>
    <t>height_SR50_AWS_departure_cm</t>
  </si>
  <si>
    <t>height_SR50_stakes_arrival_cm</t>
  </si>
  <si>
    <t>height_SR50_stakes_departure_cm</t>
  </si>
  <si>
    <t>2007-08-15</t>
  </si>
  <si>
    <t xml:space="preserve">0.44, 1.44, 2.44, 3.44, 4.44, 5.44, 5.44, 5.44, 5.44 </t>
  </si>
  <si>
    <t>Found on the ground</t>
  </si>
  <si>
    <t>2007-08-23</t>
  </si>
  <si>
    <t>The wind speed &amp; direction sensor on this station is rotated 90 degrees relative to the boom.</t>
  </si>
  <si>
    <t>2007-08-20</t>
  </si>
  <si>
    <t>1, 2, 3,4, 5, 6, 6, 6</t>
  </si>
  <si>
    <t>logger time is two hours off by mistake</t>
  </si>
  <si>
    <t>0.7, 1.7, 2.7, 3.7, 4.7, 5.7, 5.7, 5.7</t>
  </si>
  <si>
    <t>2007-08-24</t>
  </si>
  <si>
    <t>0.78, 1.78, 2.78, 3.78, 4.78, 5.78, 5.78, 5.78</t>
  </si>
  <si>
    <t>2008-07-17</t>
  </si>
  <si>
    <t>1.2, 2.2, 3.2, 4.2, 5.2, 6.2, 7.2, 10.2</t>
  </si>
  <si>
    <t>2008-07-21</t>
  </si>
  <si>
    <t>2008-07-22</t>
  </si>
  <si>
    <t>2008-07-30</t>
  </si>
  <si>
    <t>1, 2, 3, 4, 5, 6, 7, 10</t>
  </si>
  <si>
    <t>2008-08-07</t>
  </si>
  <si>
    <t>0, 0, 0, 0, 0, 0, 0, 0</t>
  </si>
  <si>
    <t>AWS on the ground upon arrival</t>
  </si>
  <si>
    <t>2008-09-01</t>
  </si>
  <si>
    <t>2008-09-02</t>
  </si>
  <si>
    <t>failed</t>
  </si>
  <si>
    <t>2009-04-02</t>
  </si>
  <si>
    <t>2009-04-03</t>
  </si>
  <si>
    <t>0.25, 1.25, 2.25, 3.25, 4.25,5.25, 6.25, 9.25</t>
  </si>
  <si>
    <t>2009-04-05</t>
  </si>
  <si>
    <t>-1.59, 0.59, 0.41, 1.41, 2.41, 3.41, 4.41, 7.41</t>
  </si>
  <si>
    <t>2009-08-17</t>
  </si>
  <si>
    <t>0.25, 1.25, 2.25, 3.25, 4.25, 5.25, 6.25, 9.25</t>
  </si>
  <si>
    <t>2009-08-24</t>
  </si>
  <si>
    <t>0.15, 1.15, 2.15, 3.15, 4.15, 5.15, 6.15, 9.15</t>
  </si>
  <si>
    <t>2009-08-31</t>
  </si>
  <si>
    <t>0.35, 1.35, 2.35,  3.35, 4.35, 5.35, 6.35, 9.35</t>
  </si>
  <si>
    <t>Old station in crevasse. Station relocated 1.6km upstream</t>
  </si>
  <si>
    <t>2010-07-19</t>
  </si>
  <si>
    <t>2010-07-20</t>
  </si>
  <si>
    <t>2010-07-23</t>
  </si>
  <si>
    <t>2010-07-25</t>
  </si>
  <si>
    <t>2010-07-26</t>
  </si>
  <si>
    <t>-1, 0, 1, 2, 3, 4, 5, 8</t>
  </si>
  <si>
    <t>2010-08-05</t>
  </si>
  <si>
    <t>0.4, 1.4, 2.4, 3.4, 4.4, 5.4, 6.4, 9.4</t>
  </si>
  <si>
    <t>2010-08-06</t>
  </si>
  <si>
    <t>-2, -1, 0, 1, 2, 3, 4, 7</t>
  </si>
  <si>
    <t>2010-08-08</t>
  </si>
  <si>
    <t>2010-05-15</t>
  </si>
  <si>
    <t>Maintenance sheet missing ask Dirk</t>
  </si>
  <si>
    <t>2010-08-10</t>
  </si>
  <si>
    <t>2011-07-20</t>
  </si>
  <si>
    <t>2011-07-29</t>
  </si>
  <si>
    <t>2011-08-25</t>
  </si>
  <si>
    <t>2011-08-23</t>
  </si>
  <si>
    <t>Station on the ground</t>
  </si>
  <si>
    <t>2011-08-10</t>
  </si>
  <si>
    <t>1.1, 2.1, 3.1, 4.1, 5.1, 6.1, 7.1, 10.1</t>
  </si>
  <si>
    <t>2011-08-11</t>
  </si>
  <si>
    <t>2011-08-09</t>
  </si>
  <si>
    <t>2011-06-03</t>
  </si>
  <si>
    <t>0.36, 1.36, 2.36, 3.36, 4.36, 5.36, 6.36, 9.36</t>
  </si>
  <si>
    <t>2011-04-20</t>
  </si>
  <si>
    <t>Not noted, guessed by bav</t>
  </si>
  <si>
    <t>2011-08-12</t>
  </si>
  <si>
    <t>2012-05-03</t>
  </si>
  <si>
    <t>2012-05-04</t>
  </si>
  <si>
    <t>1.55, 2.55, 3.55, 4.55, 5.55, 6.55, 7.55, 10.55</t>
  </si>
  <si>
    <t>2012-08-22</t>
  </si>
  <si>
    <t>1.07, 2.07, 3.07, 4.07, 5.07, 6.07, 7.07, 10.07</t>
  </si>
  <si>
    <t>2012-08-28</t>
  </si>
  <si>
    <t>2012-08-27</t>
  </si>
  <si>
    <t>2012-08-20</t>
  </si>
  <si>
    <t>2012-08-17</t>
  </si>
  <si>
    <t>AWS on the floor</t>
  </si>
  <si>
    <t>0.8, 1.8, 2.8, 3.8, 4.8, 5.8, 6.8, 9.8</t>
  </si>
  <si>
    <t>2012-09-05</t>
  </si>
  <si>
    <t>0.55, 1.55, 2.55, 3.55, 4.55, 5.55, 6.55, 9.55</t>
  </si>
  <si>
    <t>2012-09-03</t>
  </si>
  <si>
    <t>0.28, 1.28, 2.28, 3.28, 4.28, 5.28, 6.28, 9.28</t>
  </si>
  <si>
    <t>2012-08-12</t>
  </si>
  <si>
    <t>Maintenance sheet missing. Ask Michele.</t>
  </si>
  <si>
    <t>2012-08-05</t>
  </si>
  <si>
    <t>2012-07-19</t>
  </si>
  <si>
    <t>Maintenance sheet missing. Guess from bav</t>
  </si>
  <si>
    <t>2013-08-15</t>
  </si>
  <si>
    <t>2013-08-16</t>
  </si>
  <si>
    <t>0.63, 1.63, 2.63, 3.63, 4.63, 5.63, 6.63, 9.63</t>
  </si>
  <si>
    <t>2013-07-22</t>
  </si>
  <si>
    <t>0.85, 1.85, 2.85, 3.85, 4.85, 5.85, 6.85, 9.85</t>
  </si>
  <si>
    <t>2013-07-23</t>
  </si>
  <si>
    <t>AWS on its side</t>
  </si>
  <si>
    <t>2013-07-24</t>
  </si>
  <si>
    <t>2013-04-28</t>
  </si>
  <si>
    <t>0.5, 1.5, 2.5, 3.5, 4.5, 5.5, 6.5, 9.5</t>
  </si>
  <si>
    <t>Maintenance sheet missing. Date and depths taken from Charalampidis paper</t>
  </si>
  <si>
    <t>2013-08-29</t>
  </si>
  <si>
    <t>1.19, 2.19, 3.19, 4.19, 5.19, 6.19, 10.19, 7.19</t>
  </si>
  <si>
    <t>2013-09-01</t>
  </si>
  <si>
    <t>1.65, 2.65, 3.65, 4.65, 5.65, 6.65, 7.65, 10.65</t>
  </si>
  <si>
    <t>2013-08-27</t>
  </si>
  <si>
    <t>2013-08-13</t>
  </si>
  <si>
    <t>2013-08-02</t>
  </si>
  <si>
    <t>1.23, 2.23, 3.23, 4.23, 5.23, 6.23, 7.23, 10.23</t>
  </si>
  <si>
    <t>2013-08-05</t>
  </si>
  <si>
    <t>2014-08-03</t>
  </si>
  <si>
    <t>2014-08-14</t>
  </si>
  <si>
    <t>2014-07-28</t>
  </si>
  <si>
    <t>2014-07-26</t>
  </si>
  <si>
    <t>AWS moved 600m up glacier</t>
  </si>
  <si>
    <t>AWS stopped</t>
  </si>
  <si>
    <t>2014-07-25</t>
  </si>
  <si>
    <t>2014-08-23</t>
  </si>
  <si>
    <t>0.735, 1.735, 2.735, 3.735, 4.735, 5.735, 6.735, 9.735</t>
  </si>
  <si>
    <t>2014-08-22</t>
  </si>
  <si>
    <t>2014-08-09</t>
  </si>
  <si>
    <t>2014-08-10</t>
  </si>
  <si>
    <t>0.46, 1.46, 2.46, 3.46, 4.46, 5.46, 6.46, 9.46</t>
  </si>
  <si>
    <t>2014-07-31</t>
  </si>
  <si>
    <t>0.84, 1.84, 2.84, 3.84, 4.84, 5.84, 6.84, 9.84</t>
  </si>
  <si>
    <t>2014-08-01</t>
  </si>
  <si>
    <t>0.54, 1.54, 2.54, 3.54, 4.54, 5.54, 6.54, 9.54</t>
  </si>
  <si>
    <t>0.68, 1.68, 2.68, 3.68, 4.68, 5.68, 6.68, 9.68</t>
  </si>
  <si>
    <t>2014-09-13</t>
  </si>
  <si>
    <t>0.35, 1.35, 2.35, 3.35, 4.35, 5.35, 6.35, 9.35</t>
  </si>
  <si>
    <t>2014-09-15</t>
  </si>
  <si>
    <t>2015-05-04</t>
  </si>
  <si>
    <t xml:space="preserve">-1.06, -0.06, 0.94, 1.94, 2.94, 3.94, 4.94, 7.94 </t>
  </si>
  <si>
    <t>275.8</t>
  </si>
  <si>
    <t>2015-07-23</t>
  </si>
  <si>
    <t>0.9, 1.9, 2.9, 3.9, 4.9, 5.9, 6.9, 9.9</t>
  </si>
  <si>
    <t>2015-07-22</t>
  </si>
  <si>
    <t>2015-08-21</t>
  </si>
  <si>
    <t>-2.75, -1.75, -0.75, 0.25, 1.25, 2.25, 3.25, 6.25</t>
  </si>
  <si>
    <t>2015-08-23</t>
  </si>
  <si>
    <t>0, 1,  2, 3, 4, 5, 6, 9</t>
  </si>
  <si>
    <t>2015-08-20</t>
  </si>
  <si>
    <t>0.88, 1.88, 2.88, 3.88, 4.88, 5.88, 6.88, 9.88</t>
  </si>
  <si>
    <t>2015-08-11</t>
  </si>
  <si>
    <t>2015-08-13</t>
  </si>
  <si>
    <t>AWS taken down</t>
  </si>
  <si>
    <t>2015-08-01</t>
  </si>
  <si>
    <t>2015-08-03</t>
  </si>
  <si>
    <t>2016-05-01</t>
  </si>
  <si>
    <t>0.05, 0.10, 0.20, 0.30, 0.50, 0.75, 1, 1.5</t>
  </si>
  <si>
    <t>Date updated compared to note (saying August) because data starting to record in May.</t>
  </si>
  <si>
    <t>2016-07-26</t>
  </si>
  <si>
    <t>1.04, 2.04, 3.04, 4.04, 5.04, 6.04, 7.04, 10.04</t>
  </si>
  <si>
    <t>2016-08-11</t>
  </si>
  <si>
    <t>OUT</t>
  </si>
  <si>
    <t>1.02, 2.02, 3.02, 4.02, 5.02, 6.02, 7.02, 10.02</t>
  </si>
  <si>
    <t>2016-08-13</t>
  </si>
  <si>
    <t>2016-08-12</t>
  </si>
  <si>
    <t>0.57, 1.57, 2.57, 3.57, 4.57, 5.57, 9.57, 6.57</t>
  </si>
  <si>
    <t>0.78, 1.78, 2.78, 3.78, 4.78, 5.78, 6.78, 9.78</t>
  </si>
  <si>
    <t>2016-07-16</t>
  </si>
  <si>
    <t>2016-07-22</t>
  </si>
  <si>
    <t>new string installed but no depth noted</t>
  </si>
  <si>
    <t>2016-07-21</t>
  </si>
  <si>
    <t>wind sensor fallen down</t>
  </si>
  <si>
    <t>2016-08-29</t>
  </si>
  <si>
    <t>No maintenance sheet. Guessed by bav.</t>
  </si>
  <si>
    <t>2017-09-01</t>
  </si>
  <si>
    <t>0.82, 1.82, 2.82, 3.82, 4.82, 5.82, 6.82, 9.82</t>
  </si>
  <si>
    <t>2017-04-27</t>
  </si>
  <si>
    <t>2017-08-24</t>
  </si>
  <si>
    <t>1.35, 2.35, 3.35, 4.35, 5.35, 6.35, 7.35, 10.35</t>
  </si>
  <si>
    <t>2017-08-06</t>
  </si>
  <si>
    <t>1.70, 2.70, 3.70, 4.70, 5.70, 6.70, 7.70, 10.70</t>
  </si>
  <si>
    <t>2017-08-04</t>
  </si>
  <si>
    <t>1.10, 2.10, 3.10, 4.10, 5.10, 6.10, 7.10, 10.10</t>
  </si>
  <si>
    <t>2017-07-28</t>
  </si>
  <si>
    <t>2017-07-27</t>
  </si>
  <si>
    <t>2017-08-25</t>
  </si>
  <si>
    <t>no new therm</t>
  </si>
  <si>
    <t>2018-08-29</t>
  </si>
  <si>
    <t>new string, depth not specified</t>
  </si>
  <si>
    <t>2018-08-28</t>
  </si>
  <si>
    <t>2018-07-30</t>
  </si>
  <si>
    <t>1.25, 2.25, 3.25, 4.25, 5.25, 6.25, 7.25, 10.25</t>
  </si>
  <si>
    <t>2018-08-27</t>
  </si>
  <si>
    <t>2018-08-31</t>
  </si>
  <si>
    <t>0, 1, 2, 3, 4, 5, 6, 9</t>
  </si>
  <si>
    <t>2018-09-01</t>
  </si>
  <si>
    <t>1, 2, 3, 4, 5, 6, 10, 7</t>
  </si>
  <si>
    <t>old station had collapsed</t>
  </si>
  <si>
    <t>2018-05-22</t>
  </si>
  <si>
    <t>2018-08-04</t>
  </si>
  <si>
    <t>-1.46, -0.46, 0.54, 1.54, 2.54, 3.54, 4.54, 7.54</t>
  </si>
  <si>
    <t>2019-05-31</t>
  </si>
  <si>
    <t>2019-09-04</t>
  </si>
  <si>
    <t>2019-09-03</t>
  </si>
  <si>
    <t>2019-09-18</t>
  </si>
  <si>
    <t>0.75, 1.75, 2.75, 3.75, 4.75, 5.75, 6.75, 9.75</t>
  </si>
  <si>
    <t>0.65, 1.65, 2.65, 3.65, 4.65, 5.65, 6.65, 9.65</t>
  </si>
  <si>
    <t>2019-08-21</t>
  </si>
  <si>
    <t>2019-08-30</t>
  </si>
  <si>
    <t>2019-07-12</t>
  </si>
  <si>
    <t>Maintenance sheet missing, ask Allan</t>
  </si>
  <si>
    <t>2020-09-12</t>
  </si>
  <si>
    <t>2020-09-08</t>
  </si>
  <si>
    <t>2020-09-09</t>
  </si>
  <si>
    <t>2020-08-28</t>
  </si>
  <si>
    <t>2020-08-31</t>
  </si>
  <si>
    <t>2020-09-01</t>
  </si>
  <si>
    <t>2020-07-26</t>
  </si>
  <si>
    <t>0.7, 1.7, 2.7, 3.7, 4.7, 5.7, 6.7, 9.7</t>
  </si>
  <si>
    <t>2020-08-08</t>
  </si>
  <si>
    <t>-4, -3, -2, -1, 0, 1, 2, 5</t>
  </si>
  <si>
    <t>2020-08-07</t>
  </si>
  <si>
    <t>0.32, 1.32, 2.32, 3.32, 4.32, 5.32, 6.32, 9.32</t>
  </si>
  <si>
    <t>2021-09-04</t>
  </si>
  <si>
    <t>0.94, 1.94, 2.94, 3.94, 4.94, 5.94, 6.94, 9.94</t>
  </si>
  <si>
    <t>2021-08-17</t>
  </si>
  <si>
    <t>2021-08-21</t>
  </si>
  <si>
    <t>2021-09-07</t>
  </si>
  <si>
    <t>2021-09-01</t>
  </si>
  <si>
    <t>2021-08-31</t>
  </si>
  <si>
    <t>2022-08-02</t>
  </si>
  <si>
    <t>string disconnected</t>
  </si>
  <si>
    <t>0.26, 1.26, 2.26, 3.26, 4.26, 5.26, 6.26, 9.26</t>
  </si>
  <si>
    <t>2022-08-03</t>
  </si>
  <si>
    <t>2022-08-29</t>
  </si>
  <si>
    <t>0.51, 1.51, 2.51, 3.51, 4.51, 5.51, 6.51, 9.51</t>
  </si>
  <si>
    <t>thm = ablobender</t>
  </si>
  <si>
    <t>2022-08-30</t>
  </si>
  <si>
    <t>2022-08-31</t>
  </si>
  <si>
    <t>2022-08-19</t>
  </si>
  <si>
    <t>0.62, 1.62, 2.62, 3.62, 4.62, 5.62, 6.62, 9.62</t>
  </si>
  <si>
    <t>0.6, 1.6, 2.6, 3.6, 4.6, 5.6, 6.6, 9.6</t>
  </si>
  <si>
    <t>2022-05-28</t>
  </si>
  <si>
    <t>0.45, 1.45, 2.45, 3.45, 4.45, 5.45, 6.45, 9.45</t>
  </si>
  <si>
    <t>2022-08-22</t>
  </si>
  <si>
    <t>0.44, 1.44, 2.44, 3.44, 4.44, 5.44, 6.44, 9.44</t>
  </si>
  <si>
    <t>2022-08-24</t>
  </si>
  <si>
    <t>2022-09-07</t>
  </si>
  <si>
    <t>2022-09-06</t>
  </si>
  <si>
    <t>2022-09-02</t>
  </si>
  <si>
    <t>fallen</t>
  </si>
  <si>
    <t>2022-06-17</t>
  </si>
  <si>
    <t>0, 0.5, 1, 1.5, 2, 2.5, 3, 4, 6, 8, 10</t>
  </si>
  <si>
    <t>2022-06-15</t>
  </si>
  <si>
    <t>2023-06-11</t>
  </si>
  <si>
    <t>2023-06-15</t>
  </si>
  <si>
    <t>2023-06-09</t>
  </si>
  <si>
    <t>2023-06-08</t>
  </si>
  <si>
    <t>2023-08-07</t>
  </si>
  <si>
    <t>2023-05-31</t>
  </si>
  <si>
    <t>2023-08-17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</si>
</sst>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dd-mm-yyyy hh:mm"/>
    <numFmt numFmtId="166" formatCode="d-m-yyyy hh:mm"/>
    <numFmt numFmtId="167" formatCode="yyyy.m"/>
    <numFmt numFmtId="168" formatCode="d.m"/>
    <numFmt numFmtId="169" formatCode="yyyy.mm"/>
    <numFmt numFmtId="170" formatCode="m.yyyy"/>
    <numFmt numFmtId="171" formatCode="yyyy-mm-dd h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2.0"/>
      <color theme="1"/>
      <name val="&quot;Times New Roman&quot;"/>
    </font>
  </fonts>
  <fills count="1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horizontal="left" vertical="bottom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166" xfId="0" applyAlignment="1" applyFont="1" applyNumberFormat="1">
      <alignment vertical="bottom"/>
    </xf>
    <xf borderId="0" fillId="0" fontId="2" numFmtId="166" xfId="0" applyAlignment="1" applyFont="1" applyNumberFormat="1">
      <alignment horizontal="left" vertical="bottom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1" numFmtId="167" xfId="0" applyAlignment="1" applyFont="1" applyNumberFormat="1">
      <alignment horizontal="left" readingOrder="0"/>
    </xf>
    <xf borderId="0" fillId="0" fontId="2" numFmtId="167" xfId="0" applyAlignment="1" applyFont="1" applyNumberFormat="1">
      <alignment horizontal="left" vertical="bottom"/>
    </xf>
    <xf borderId="0" fillId="0" fontId="2" numFmtId="168" xfId="0" applyAlignment="1" applyFont="1" applyNumberFormat="1">
      <alignment horizontal="left" vertical="bottom"/>
    </xf>
    <xf borderId="0" fillId="0" fontId="1" numFmtId="168" xfId="0" applyAlignment="1" applyFont="1" applyNumberFormat="1">
      <alignment horizontal="left" readingOrder="0"/>
    </xf>
    <xf borderId="0" fillId="0" fontId="2" numFmtId="167" xfId="0" applyAlignment="1" applyFont="1" applyNumberFormat="1">
      <alignment horizontal="right" vertical="bottom"/>
    </xf>
    <xf borderId="0" fillId="0" fontId="1" numFmtId="0" xfId="0" applyAlignment="1" applyFont="1">
      <alignment horizontal="left"/>
    </xf>
    <xf borderId="0" fillId="0" fontId="1" numFmtId="167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2" fontId="1" numFmtId="49" xfId="0" applyFill="1" applyFont="1" applyNumberFormat="1"/>
    <xf borderId="0" fillId="2" fontId="1" numFmtId="0" xfId="0" applyAlignment="1" applyFont="1">
      <alignment readingOrder="0"/>
    </xf>
    <xf quotePrefix="1" borderId="0" fillId="2" fontId="1" numFmtId="0" xfId="0" applyAlignment="1" applyFont="1">
      <alignment readingOrder="0"/>
    </xf>
    <xf borderId="0" fillId="2" fontId="1" numFmtId="0" xfId="0" applyFont="1"/>
    <xf borderId="0" fillId="2" fontId="5" numFmtId="0" xfId="0" applyAlignment="1" applyFont="1">
      <alignment readingOrder="0"/>
    </xf>
    <xf borderId="0" fillId="3" fontId="1" numFmtId="49" xfId="0" applyFill="1" applyFont="1" applyNumberFormat="1"/>
    <xf borderId="0" fillId="3" fontId="1" numFmtId="0" xfId="0" applyAlignment="1" applyFont="1">
      <alignment readingOrder="0"/>
    </xf>
    <xf borderId="0" fillId="3" fontId="1" numFmtId="0" xfId="0" applyFont="1"/>
    <xf borderId="0" fillId="4" fontId="1" numFmtId="49" xfId="0" applyFill="1" applyFont="1" applyNumberFormat="1"/>
    <xf borderId="0" fillId="4" fontId="1" numFmtId="0" xfId="0" applyAlignment="1" applyFont="1">
      <alignment readingOrder="0"/>
    </xf>
    <xf borderId="0" fillId="4" fontId="1" numFmtId="0" xfId="0" applyFont="1"/>
    <xf borderId="0" fillId="5" fontId="1" numFmtId="49" xfId="0" applyFill="1" applyFont="1" applyNumberFormat="1"/>
    <xf borderId="0" fillId="5" fontId="1" numFmtId="0" xfId="0" applyAlignment="1" applyFont="1">
      <alignment readingOrder="0"/>
    </xf>
    <xf borderId="0" fillId="5" fontId="1" numFmtId="0" xfId="0" applyFont="1"/>
    <xf borderId="0" fillId="6" fontId="1" numFmtId="49" xfId="0" applyFill="1" applyFont="1" applyNumberFormat="1"/>
    <xf borderId="0" fillId="6" fontId="1" numFmtId="0" xfId="0" applyAlignment="1" applyFont="1">
      <alignment readingOrder="0"/>
    </xf>
    <xf borderId="0" fillId="6" fontId="1" numFmtId="0" xfId="0" applyFont="1"/>
    <xf borderId="0" fillId="7" fontId="1" numFmtId="49" xfId="0" applyFill="1" applyFont="1" applyNumberFormat="1"/>
    <xf borderId="0" fillId="7" fontId="1" numFmtId="0" xfId="0" applyAlignment="1" applyFont="1">
      <alignment readingOrder="0"/>
    </xf>
    <xf borderId="0" fillId="7" fontId="1" numFmtId="0" xfId="0" applyFont="1"/>
    <xf borderId="0" fillId="7" fontId="1" numFmtId="0" xfId="0" applyFont="1"/>
    <xf borderId="0" fillId="8" fontId="1" numFmtId="49" xfId="0" applyFill="1" applyFont="1" applyNumberFormat="1"/>
    <xf borderId="0" fillId="8" fontId="1" numFmtId="0" xfId="0" applyAlignment="1" applyFont="1">
      <alignment readingOrder="0"/>
    </xf>
    <xf borderId="0" fillId="8" fontId="1" numFmtId="0" xfId="0" applyFont="1"/>
    <xf borderId="0" fillId="9" fontId="1" numFmtId="49" xfId="0" applyFill="1" applyFont="1" applyNumberFormat="1"/>
    <xf borderId="0" fillId="9" fontId="1" numFmtId="0" xfId="0" applyAlignment="1" applyFont="1">
      <alignment readingOrder="0"/>
    </xf>
    <xf borderId="0" fillId="9" fontId="1" numFmtId="0" xfId="0" applyFont="1"/>
    <xf borderId="0" fillId="10" fontId="1" numFmtId="49" xfId="0" applyFill="1" applyFont="1" applyNumberFormat="1"/>
    <xf borderId="0" fillId="10" fontId="1" numFmtId="0" xfId="0" applyAlignment="1" applyFont="1">
      <alignment readingOrder="0"/>
    </xf>
    <xf borderId="0" fillId="10" fontId="1" numFmtId="0" xfId="0" applyFont="1"/>
    <xf borderId="0" fillId="11" fontId="1" numFmtId="49" xfId="0" applyFill="1" applyFont="1" applyNumberFormat="1"/>
    <xf borderId="0" fillId="11" fontId="1" numFmtId="0" xfId="0" applyAlignment="1" applyFont="1">
      <alignment readingOrder="0"/>
    </xf>
    <xf borderId="0" fillId="11" fontId="1" numFmtId="0" xfId="0" applyFont="1"/>
    <xf borderId="0" fillId="12" fontId="1" numFmtId="49" xfId="0" applyFill="1" applyFont="1" applyNumberFormat="1"/>
    <xf borderId="0" fillId="12" fontId="1" numFmtId="0" xfId="0" applyAlignment="1" applyFont="1">
      <alignment readingOrder="0"/>
    </xf>
    <xf borderId="0" fillId="12" fontId="1" numFmtId="0" xfId="0" applyFont="1"/>
    <xf borderId="0" fillId="12" fontId="1" numFmtId="168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8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n Mankoff" id="{66d24891-2390-4614-b634-5fece87013fe}" providerId="google-sheets"/>
  <x18tc:person displayName="Baptiste V" id="{577bae81-dc7f-49e4-8f0b-65bbc8b51ed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" dT="2021-09-07T12:29:28.00" personId="{66d24891-2390-4614-b634-5fece87013fe}" id="{752d2edc-44dc-4215-98b1-f376f9096efe}" done="1">
    <x18tc:text xml:space="preserve">arrival or departure?</x18tc:text>
  </x18tc:threadedComment>
  <x18tc:threadedComment ref="H138" dT="2021-09-07T12:07:46.00" personId="{66d24891-2390-4614-b634-5fece87013fe}" id="{7b4e6e31-cdce-47ea-ae75-b4c725a3852a}" done="1">
    <x18tc:text xml:space="preserve">Is this at arrival or at departure?</x18tc:text>
  </x18tc:threadedComment>
  <x18tc:threadedComment ref="H138" dT="2021-09-07T12:08:03.00" personId="{66d24891-2390-4614-b634-5fece87013fe}" id="{59eeb551-6770-4f24-9391-d60ad3f2cf7a}" parentId="{7b4e6e31-cdce-47ea-ae75-b4c725a3852a}">
    <x18tc:text xml:space="preserve">There are two SR50s. Is this station or stake?</x18tc:text>
  </x18tc:threadedComment>
  <x18tc:threadedComment ref="G1" dT="2021-09-07T12:29:14.00" personId="{66d24891-2390-4614-b634-5fece87013fe}" id="{357186b1-033c-417a-b76d-e19ff8b148ce}" done="1">
    <x18tc:text xml:space="preserve">arrival or departure?</x18tc:text>
  </x18tc:threadedComment>
  <x18tc:threadedComment ref="C138" dT="2021-09-07T12:06:43.00" personId="{66d24891-2390-4614-b634-5fece87013fe}" id="{e20f5f8a-ee51-44dc-b79a-a46c274011d1}" done="1">
    <x18tc:text xml:space="preserve">My notes say "all out". Is this encoding that?</x18tc:text>
  </x18tc:threadedComment>
  <x18tc:threadedComment ref="C138" dT="2021-09-07T12:10:50.00" personId="{577bae81-dc7f-49e4-8f0b-65bbc8b51ed9}" id="{65421f9e-1f1f-4de3-b0da-321c0afcd49c}" parentId="{e20f5f8a-ee51-44dc-b79a-a46c274011d1}">
    <x18tc:text xml:space="preserve">yes, I'm open to suggestions for the encoding</x18tc:text>
  </x18tc:threadedComment>
  <x18tc:threadedComment ref="C138" dT="2021-09-07T12:11:57.00" personId="{66d24891-2390-4614-b634-5fece87013fe}" id="{4d40fae3-5e64-4e4b-92dc-844c09fb439b}" parentId="{e20f5f8a-ee51-44dc-b79a-a46c274011d1}">
    <x18tc:text xml:space="preserve">I'd use "OUT" and then df.replace('OUT', np.nan) in the code? Also, do you know your code can directly load Google Sheets as dataframes?</x18tc:text>
  </x18tc:threadedComment>
  <x18tc:threadedComment ref="C138" dT="2021-09-07T12:14:55.00" personId="{577bae81-dc7f-49e4-8f0b-65bbc8b51ed9}" id="{27192f9b-0410-47b6-b456-30bedc64b727}" parentId="{e20f5f8a-ee51-44dc-b79a-a46c274011d1}">
    <x18tc:text xml:space="preserve">I'll use your suggestion. I like to be able to work offline if needed, so atm I download the "tsv" version of the file</x18tc:text>
  </x18tc:threadedComment>
  <x18tc:threadedComment ref="C138" dT="2021-09-07T12:18:14.00" personId="{66d24891-2390-4614-b634-5fece87013fe}" id="{60735a72-1eef-45b6-8d03-78d3250521c1}" parentId="{e20f5f8a-ee51-44dc-b79a-a46c274011d1}">
    <x18tc:text xml:space="preserve">I do
&gt;&gt;&gt; url='https://docs.google.com/spreadsheets/d/19WT3BOspQAI3p-r5LPUxIr3AY8jWlEuaf3M_jIT1Z8E/export?format=csv&amp;gid=0'
&gt;&gt;&gt; pd.read_csv(url).write_csv('local.csv')
to download (in code)</x18tc:text>
    <x18tc:extLst>
      <ext uri="{F7C98A9C-CBB3-438F-8F68-D28B6AF4A901}">
        <xltc2:checksum/>
        <xltc2:hyperlink startIndex="14" length="107" url="https://docs.google.com/spreadsheets/d/19WT3BOspQAI3p-r5LPUxIr3AY8jWlEuaf3M_jIT1Z8E/export?format=csv&amp;gid=0"/>
      </ext>
    </x18tc:extLst>
  </x18tc:threadedComment>
  <x18tc:threadedComment ref="C138" dT="2021-09-08T07:04:26.00" personId="{577bae81-dc7f-49e4-8f0b-65bbc8b51ed9}" id="{da4df851-22e2-4c4e-875f-267507398708}" parentId="{e20f5f8a-ee51-44dc-b79a-a46c274011d1}">
    <x18tc:text xml:space="preserve">thanks!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1.25"/>
    <col customWidth="1" min="3" max="3" width="10.5"/>
    <col customWidth="1" min="6" max="6" width="12.13"/>
    <col customWidth="1" min="7" max="7" width="12.38"/>
    <col customWidth="1" min="8" max="8" width="11.5"/>
    <col customWidth="1" min="9" max="9" width="15.0"/>
    <col customWidth="1" min="11" max="11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3">
        <v>43940.0</v>
      </c>
      <c r="E2" s="4">
        <v>44991.0</v>
      </c>
      <c r="F2" s="5" t="s">
        <v>16</v>
      </c>
      <c r="G2" s="5" t="s">
        <v>17</v>
      </c>
      <c r="H2" s="6" t="s">
        <v>18</v>
      </c>
      <c r="I2" s="7">
        <v>44964.0</v>
      </c>
      <c r="J2" s="1" t="s">
        <v>19</v>
      </c>
      <c r="K2" s="1" t="s">
        <v>20</v>
      </c>
      <c r="L2" s="2">
        <v>567.0</v>
      </c>
      <c r="M2" s="8">
        <f t="shared" ref="M2:M58" si="1">IF(EXACT(C2, "ice sheet"),1,0)</f>
        <v>0</v>
      </c>
    </row>
    <row r="3">
      <c r="A3" s="1" t="s">
        <v>21</v>
      </c>
      <c r="B3" s="1" t="s">
        <v>14</v>
      </c>
      <c r="C3" s="1" t="s">
        <v>22</v>
      </c>
      <c r="D3" s="3">
        <v>44440.0</v>
      </c>
      <c r="E3" s="4">
        <v>44992.0</v>
      </c>
      <c r="F3" s="5" t="s">
        <v>23</v>
      </c>
      <c r="G3" s="5" t="s">
        <v>24</v>
      </c>
      <c r="H3" s="6" t="s">
        <v>25</v>
      </c>
      <c r="I3" s="7">
        <v>44965.0</v>
      </c>
      <c r="J3" s="1" t="s">
        <v>26</v>
      </c>
      <c r="K3" s="1" t="s">
        <v>27</v>
      </c>
      <c r="L3" s="2" t="s">
        <v>28</v>
      </c>
      <c r="M3" s="8">
        <f t="shared" si="1"/>
        <v>0</v>
      </c>
    </row>
    <row r="4">
      <c r="A4" s="1" t="s">
        <v>29</v>
      </c>
      <c r="B4" s="1" t="s">
        <v>14</v>
      </c>
      <c r="C4" s="1" t="s">
        <v>30</v>
      </c>
      <c r="D4" s="3">
        <v>44776.0</v>
      </c>
      <c r="E4" s="4">
        <v>44992.0</v>
      </c>
      <c r="F4" s="9" t="s">
        <v>31</v>
      </c>
      <c r="G4" s="9" t="s">
        <v>32</v>
      </c>
      <c r="H4" s="10" t="s">
        <v>33</v>
      </c>
      <c r="I4" s="7">
        <v>44965.5</v>
      </c>
      <c r="J4" s="1" t="s">
        <v>34</v>
      </c>
      <c r="K4" s="1" t="s">
        <v>35</v>
      </c>
      <c r="L4" s="2" t="s">
        <v>36</v>
      </c>
      <c r="M4" s="8">
        <f t="shared" si="1"/>
        <v>1</v>
      </c>
    </row>
    <row r="5">
      <c r="A5" s="1" t="s">
        <v>37</v>
      </c>
      <c r="B5" s="1" t="s">
        <v>14</v>
      </c>
      <c r="C5" s="1" t="s">
        <v>30</v>
      </c>
      <c r="D5" s="3">
        <v>44342.0</v>
      </c>
      <c r="E5" s="4">
        <v>44952.0</v>
      </c>
      <c r="F5" s="9" t="s">
        <v>38</v>
      </c>
      <c r="G5" s="9" t="s">
        <v>39</v>
      </c>
      <c r="H5" s="10" t="s">
        <v>40</v>
      </c>
      <c r="I5" s="7">
        <v>44952.666666666664</v>
      </c>
      <c r="J5" s="1" t="s">
        <v>41</v>
      </c>
      <c r="K5" s="1" t="s">
        <v>42</v>
      </c>
      <c r="L5" s="2" t="s">
        <v>43</v>
      </c>
      <c r="M5" s="8">
        <f t="shared" si="1"/>
        <v>1</v>
      </c>
    </row>
    <row r="6">
      <c r="A6" s="1" t="s">
        <v>44</v>
      </c>
      <c r="B6" s="1" t="s">
        <v>14</v>
      </c>
      <c r="C6" s="1" t="s">
        <v>22</v>
      </c>
      <c r="D6" s="3">
        <v>44672.0</v>
      </c>
      <c r="E6" s="4">
        <v>44920.0</v>
      </c>
      <c r="F6" s="11" t="s">
        <v>45</v>
      </c>
      <c r="G6" s="11" t="s">
        <v>46</v>
      </c>
      <c r="H6" s="12" t="s">
        <v>47</v>
      </c>
      <c r="I6" s="13">
        <v>44920.625</v>
      </c>
      <c r="J6" s="1" t="s">
        <v>48</v>
      </c>
      <c r="K6" s="1" t="s">
        <v>49</v>
      </c>
      <c r="L6" s="2" t="s">
        <v>50</v>
      </c>
      <c r="M6" s="8">
        <f t="shared" si="1"/>
        <v>0</v>
      </c>
    </row>
    <row r="7">
      <c r="A7" s="1" t="s">
        <v>51</v>
      </c>
      <c r="B7" s="1" t="s">
        <v>14</v>
      </c>
      <c r="C7" s="1" t="s">
        <v>22</v>
      </c>
      <c r="D7" s="3">
        <v>39536.0</v>
      </c>
      <c r="E7" s="4">
        <v>44992.0</v>
      </c>
      <c r="F7" s="5" t="s">
        <v>52</v>
      </c>
      <c r="G7" s="5" t="s">
        <v>53</v>
      </c>
      <c r="H7" s="6" t="s">
        <v>54</v>
      </c>
      <c r="I7" s="7">
        <v>44965.0</v>
      </c>
      <c r="J7" s="1" t="s">
        <v>55</v>
      </c>
      <c r="K7" s="1" t="s">
        <v>56</v>
      </c>
      <c r="L7" s="2" t="s">
        <v>57</v>
      </c>
      <c r="M7" s="8">
        <f t="shared" si="1"/>
        <v>0</v>
      </c>
    </row>
    <row r="8">
      <c r="A8" s="1" t="s">
        <v>58</v>
      </c>
      <c r="B8" s="1" t="s">
        <v>14</v>
      </c>
      <c r="C8" s="1" t="s">
        <v>22</v>
      </c>
      <c r="D8" s="3">
        <v>43720.0</v>
      </c>
      <c r="E8" s="4">
        <v>44712.0</v>
      </c>
      <c r="F8" s="5" t="s">
        <v>59</v>
      </c>
      <c r="G8" s="5" t="s">
        <v>60</v>
      </c>
      <c r="H8" s="6" t="s">
        <v>61</v>
      </c>
      <c r="I8" s="7">
        <v>44712.375</v>
      </c>
      <c r="J8" s="1" t="s">
        <v>62</v>
      </c>
      <c r="K8" s="1" t="s">
        <v>63</v>
      </c>
      <c r="L8" s="2" t="s">
        <v>64</v>
      </c>
      <c r="M8" s="8">
        <f t="shared" si="1"/>
        <v>0</v>
      </c>
    </row>
    <row r="9">
      <c r="A9" s="1" t="s">
        <v>65</v>
      </c>
      <c r="B9" s="1" t="s">
        <v>14</v>
      </c>
      <c r="C9" s="1" t="s">
        <v>30</v>
      </c>
      <c r="D9" s="3">
        <v>42593.0</v>
      </c>
      <c r="E9" s="4">
        <v>44896.0</v>
      </c>
      <c r="F9" s="14" t="s">
        <v>66</v>
      </c>
      <c r="G9" s="14" t="s">
        <v>67</v>
      </c>
      <c r="H9" s="15" t="s">
        <v>68</v>
      </c>
      <c r="I9" s="7">
        <v>44896.0</v>
      </c>
      <c r="J9" s="1" t="s">
        <v>69</v>
      </c>
      <c r="K9" s="1" t="s">
        <v>70</v>
      </c>
      <c r="L9" s="2">
        <v>678.0</v>
      </c>
      <c r="M9" s="8">
        <f t="shared" si="1"/>
        <v>1</v>
      </c>
    </row>
    <row r="10">
      <c r="A10" s="1" t="s">
        <v>71</v>
      </c>
      <c r="B10" s="1" t="s">
        <v>14</v>
      </c>
      <c r="C10" s="1" t="s">
        <v>22</v>
      </c>
      <c r="D10" s="3">
        <v>44440.0</v>
      </c>
      <c r="E10" s="4">
        <v>44992.0</v>
      </c>
      <c r="F10" s="5" t="s">
        <v>72</v>
      </c>
      <c r="G10" s="5" t="s">
        <v>73</v>
      </c>
      <c r="H10" s="6" t="s">
        <v>74</v>
      </c>
      <c r="I10" s="7">
        <v>44965.0</v>
      </c>
      <c r="J10" s="1" t="s">
        <v>75</v>
      </c>
      <c r="K10" s="1" t="s">
        <v>76</v>
      </c>
      <c r="L10" s="2" t="s">
        <v>77</v>
      </c>
      <c r="M10" s="8">
        <f t="shared" si="1"/>
        <v>0</v>
      </c>
    </row>
    <row r="11">
      <c r="A11" s="1" t="s">
        <v>78</v>
      </c>
      <c r="B11" s="1" t="s">
        <v>79</v>
      </c>
      <c r="C11" s="1" t="s">
        <v>15</v>
      </c>
      <c r="D11" s="4">
        <v>44697.0</v>
      </c>
      <c r="E11" s="4">
        <v>44992.0</v>
      </c>
      <c r="F11" s="5" t="s">
        <v>80</v>
      </c>
      <c r="G11" s="5" t="s">
        <v>81</v>
      </c>
      <c r="H11" s="6" t="s">
        <v>82</v>
      </c>
      <c r="I11" s="7">
        <v>44965.5</v>
      </c>
      <c r="J11" s="1" t="s">
        <v>83</v>
      </c>
      <c r="K11" s="1" t="s">
        <v>84</v>
      </c>
      <c r="L11" s="2">
        <v>27.0</v>
      </c>
      <c r="M11" s="8">
        <f t="shared" si="1"/>
        <v>0</v>
      </c>
    </row>
    <row r="12">
      <c r="A12" s="1" t="s">
        <v>85</v>
      </c>
      <c r="B12" s="1" t="s">
        <v>79</v>
      </c>
      <c r="C12" s="1" t="s">
        <v>30</v>
      </c>
      <c r="D12" s="3">
        <v>44708.0</v>
      </c>
      <c r="E12" s="4">
        <v>44992.0</v>
      </c>
      <c r="F12" s="11" t="s">
        <v>86</v>
      </c>
      <c r="G12" s="11" t="s">
        <v>87</v>
      </c>
      <c r="H12" s="12" t="s">
        <v>88</v>
      </c>
      <c r="I12" s="13">
        <v>44895.791666666664</v>
      </c>
      <c r="J12" s="1" t="s">
        <v>89</v>
      </c>
      <c r="K12" s="1" t="s">
        <v>90</v>
      </c>
      <c r="L12" s="16">
        <v>64437.0</v>
      </c>
      <c r="M12" s="8">
        <f t="shared" si="1"/>
        <v>1</v>
      </c>
    </row>
    <row r="13">
      <c r="A13" s="1" t="s">
        <v>91</v>
      </c>
      <c r="B13" s="1" t="s">
        <v>79</v>
      </c>
      <c r="C13" s="1" t="s">
        <v>30</v>
      </c>
      <c r="D13" s="4">
        <v>44368.0</v>
      </c>
      <c r="E13" s="4">
        <v>44992.0</v>
      </c>
      <c r="F13" s="5" t="s">
        <v>92</v>
      </c>
      <c r="G13" s="5" t="s">
        <v>93</v>
      </c>
      <c r="H13" s="17">
        <v>363784.0</v>
      </c>
      <c r="I13" s="7">
        <v>44964.833333333336</v>
      </c>
      <c r="J13" s="1" t="s">
        <v>94</v>
      </c>
      <c r="K13" s="1" t="s">
        <v>95</v>
      </c>
      <c r="L13" s="16">
        <v>361593.0</v>
      </c>
      <c r="M13" s="8">
        <f t="shared" si="1"/>
        <v>1</v>
      </c>
    </row>
    <row r="14">
      <c r="A14" s="1" t="s">
        <v>96</v>
      </c>
      <c r="B14" s="1" t="s">
        <v>79</v>
      </c>
      <c r="C14" s="1" t="s">
        <v>30</v>
      </c>
      <c r="D14" s="3">
        <v>44709.0</v>
      </c>
      <c r="E14" s="4">
        <v>44811.0</v>
      </c>
      <c r="F14" s="5" t="s">
        <v>97</v>
      </c>
      <c r="G14" s="5" t="s">
        <v>98</v>
      </c>
      <c r="H14" s="17">
        <v>265592.0</v>
      </c>
      <c r="I14" s="7">
        <v>44811.791666666664</v>
      </c>
      <c r="J14" s="1" t="s">
        <v>99</v>
      </c>
      <c r="K14" s="1" t="s">
        <v>100</v>
      </c>
      <c r="L14" s="16">
        <v>265199.0</v>
      </c>
      <c r="M14" s="8">
        <f t="shared" si="1"/>
        <v>1</v>
      </c>
    </row>
    <row r="15">
      <c r="A15" s="1" t="s">
        <v>101</v>
      </c>
      <c r="B15" s="1" t="s">
        <v>79</v>
      </c>
      <c r="C15" s="1" t="s">
        <v>30</v>
      </c>
      <c r="D15" s="4">
        <v>44361.0</v>
      </c>
      <c r="E15" s="4">
        <v>44846.0</v>
      </c>
      <c r="F15" s="11" t="s">
        <v>102</v>
      </c>
      <c r="G15" s="11" t="s">
        <v>103</v>
      </c>
      <c r="H15" s="17">
        <v>203898.0</v>
      </c>
      <c r="I15" s="13">
        <v>44846.625</v>
      </c>
      <c r="J15" s="1" t="s">
        <v>104</v>
      </c>
      <c r="K15" s="1" t="s">
        <v>105</v>
      </c>
      <c r="L15" s="16">
        <v>208038.0</v>
      </c>
      <c r="M15" s="8">
        <f t="shared" si="1"/>
        <v>1</v>
      </c>
    </row>
    <row r="16">
      <c r="A16" s="1" t="s">
        <v>106</v>
      </c>
      <c r="B16" s="1" t="s">
        <v>79</v>
      </c>
      <c r="C16" s="1" t="s">
        <v>30</v>
      </c>
      <c r="D16" s="3">
        <v>44732.0</v>
      </c>
      <c r="E16" s="4">
        <v>44890.0</v>
      </c>
      <c r="F16" s="11" t="s">
        <v>107</v>
      </c>
      <c r="G16" s="11" t="s">
        <v>108</v>
      </c>
      <c r="H16" s="17">
        <v>202133.0</v>
      </c>
      <c r="I16" s="13">
        <v>44890.791666666664</v>
      </c>
      <c r="J16" s="1" t="s">
        <v>109</v>
      </c>
      <c r="K16" s="1" t="s">
        <v>110</v>
      </c>
      <c r="L16" s="16">
        <v>200764.0</v>
      </c>
      <c r="M16" s="8">
        <f t="shared" si="1"/>
        <v>1</v>
      </c>
    </row>
    <row r="17">
      <c r="A17" s="1" t="s">
        <v>111</v>
      </c>
      <c r="B17" s="1" t="s">
        <v>79</v>
      </c>
      <c r="C17" s="1" t="s">
        <v>30</v>
      </c>
      <c r="D17" s="3">
        <v>44366.0</v>
      </c>
      <c r="E17" s="4">
        <v>44957.0</v>
      </c>
      <c r="F17" s="5" t="s">
        <v>112</v>
      </c>
      <c r="G17" s="5" t="s">
        <v>113</v>
      </c>
      <c r="H17" s="17">
        <v>177630.0</v>
      </c>
      <c r="I17" s="7">
        <v>44957.791666666664</v>
      </c>
      <c r="J17" s="1" t="s">
        <v>114</v>
      </c>
      <c r="K17" s="1" t="s">
        <v>115</v>
      </c>
      <c r="L17" s="16">
        <v>176779.0</v>
      </c>
      <c r="M17" s="8">
        <f t="shared" si="1"/>
        <v>1</v>
      </c>
    </row>
    <row r="18">
      <c r="A18" s="1" t="s">
        <v>116</v>
      </c>
      <c r="B18" s="1" t="s">
        <v>79</v>
      </c>
      <c r="C18" s="1" t="s">
        <v>30</v>
      </c>
      <c r="D18" s="3">
        <v>44425.0</v>
      </c>
      <c r="E18" s="4">
        <v>44937.0</v>
      </c>
      <c r="F18" s="5" t="s">
        <v>117</v>
      </c>
      <c r="G18" s="5" t="s">
        <v>118</v>
      </c>
      <c r="H18" s="17">
        <v>160799.0</v>
      </c>
      <c r="I18" s="7">
        <v>44937.625</v>
      </c>
      <c r="J18" s="1" t="s">
        <v>119</v>
      </c>
      <c r="K18" s="1" t="s">
        <v>120</v>
      </c>
      <c r="L18" s="16">
        <v>159613.0</v>
      </c>
      <c r="M18" s="8">
        <f t="shared" si="1"/>
        <v>1</v>
      </c>
    </row>
    <row r="19">
      <c r="A19" s="1" t="s">
        <v>121</v>
      </c>
      <c r="B19" s="1" t="s">
        <v>79</v>
      </c>
      <c r="C19" s="1" t="s">
        <v>30</v>
      </c>
      <c r="D19" s="3">
        <v>44728.0</v>
      </c>
      <c r="E19" s="3">
        <v>45058.0</v>
      </c>
      <c r="F19" s="5" t="s">
        <v>122</v>
      </c>
      <c r="G19" s="5" t="s">
        <v>123</v>
      </c>
      <c r="H19" s="17">
        <v>82182.0</v>
      </c>
      <c r="I19" s="7">
        <v>44965.5</v>
      </c>
      <c r="J19" s="1" t="s">
        <v>124</v>
      </c>
      <c r="K19" s="1" t="s">
        <v>125</v>
      </c>
      <c r="L19" s="16">
        <v>81206.0</v>
      </c>
      <c r="M19" s="8">
        <f t="shared" si="1"/>
        <v>1</v>
      </c>
    </row>
    <row r="20">
      <c r="A20" s="1" t="s">
        <v>126</v>
      </c>
      <c r="B20" s="1" t="s">
        <v>14</v>
      </c>
      <c r="C20" s="1" t="s">
        <v>127</v>
      </c>
      <c r="D20" s="3">
        <v>44741.0</v>
      </c>
      <c r="E20" s="4">
        <v>44952.0</v>
      </c>
      <c r="F20" s="5" t="s">
        <v>128</v>
      </c>
      <c r="G20" s="5" t="s">
        <v>129</v>
      </c>
      <c r="H20" s="18">
        <v>45182.0</v>
      </c>
      <c r="I20" s="7">
        <v>44952.625</v>
      </c>
      <c r="J20" s="1" t="s">
        <v>130</v>
      </c>
      <c r="K20" s="1" t="s">
        <v>131</v>
      </c>
      <c r="L20" s="19">
        <v>45057.0</v>
      </c>
      <c r="M20" s="8">
        <f t="shared" si="1"/>
        <v>0</v>
      </c>
    </row>
    <row r="21">
      <c r="A21" s="1" t="s">
        <v>132</v>
      </c>
      <c r="B21" s="1" t="s">
        <v>14</v>
      </c>
      <c r="C21" s="1" t="s">
        <v>15</v>
      </c>
      <c r="D21" s="4">
        <v>44784.0</v>
      </c>
      <c r="E21" s="4">
        <v>44992.0</v>
      </c>
      <c r="F21" s="5" t="s">
        <v>133</v>
      </c>
      <c r="G21" s="5" t="s">
        <v>81</v>
      </c>
      <c r="H21" s="18">
        <v>45012.0</v>
      </c>
      <c r="I21" s="7">
        <v>44965.541666666664</v>
      </c>
      <c r="J21" s="1" t="s">
        <v>134</v>
      </c>
      <c r="K21" s="1" t="s">
        <v>135</v>
      </c>
      <c r="L21" s="2" t="s">
        <v>136</v>
      </c>
      <c r="M21" s="8">
        <f t="shared" si="1"/>
        <v>0</v>
      </c>
    </row>
    <row r="22">
      <c r="A22" s="1" t="s">
        <v>137</v>
      </c>
      <c r="B22" s="1" t="s">
        <v>79</v>
      </c>
      <c r="C22" s="1" t="s">
        <v>30</v>
      </c>
      <c r="D22" s="3">
        <v>44731.0</v>
      </c>
      <c r="E22" s="4">
        <v>44948.0</v>
      </c>
      <c r="F22" s="5" t="s">
        <v>138</v>
      </c>
      <c r="G22" s="5" t="s">
        <v>139</v>
      </c>
      <c r="H22" s="17">
        <v>25416.0</v>
      </c>
      <c r="I22" s="7">
        <v>44948.25</v>
      </c>
      <c r="J22" s="1" t="s">
        <v>140</v>
      </c>
      <c r="K22" s="1" t="s">
        <v>141</v>
      </c>
      <c r="L22" s="16">
        <v>25416.0</v>
      </c>
      <c r="M22" s="8">
        <f t="shared" si="1"/>
        <v>1</v>
      </c>
    </row>
    <row r="23">
      <c r="A23" s="1" t="s">
        <v>142</v>
      </c>
      <c r="B23" s="1" t="s">
        <v>79</v>
      </c>
      <c r="C23" s="1" t="s">
        <v>30</v>
      </c>
      <c r="D23" s="3">
        <v>44364.0</v>
      </c>
      <c r="E23" s="3">
        <v>45058.0</v>
      </c>
      <c r="F23" s="5" t="s">
        <v>143</v>
      </c>
      <c r="G23" s="5" t="s">
        <v>144</v>
      </c>
      <c r="H23" s="17">
        <v>14124.0</v>
      </c>
      <c r="I23" s="7">
        <v>44965.5</v>
      </c>
      <c r="J23" s="1" t="s">
        <v>145</v>
      </c>
      <c r="K23" s="1" t="s">
        <v>146</v>
      </c>
      <c r="L23" s="16">
        <v>17319.0</v>
      </c>
      <c r="M23" s="8">
        <f t="shared" si="1"/>
        <v>1</v>
      </c>
    </row>
    <row r="24">
      <c r="A24" s="1" t="s">
        <v>147</v>
      </c>
      <c r="B24" s="1" t="s">
        <v>14</v>
      </c>
      <c r="C24" s="1" t="s">
        <v>30</v>
      </c>
      <c r="D24" s="4">
        <v>42491.0</v>
      </c>
      <c r="E24" s="3">
        <v>45058.0</v>
      </c>
      <c r="F24" s="1" t="s">
        <v>148</v>
      </c>
      <c r="G24" s="1" t="s">
        <v>149</v>
      </c>
      <c r="H24" s="2">
        <v>2700.0</v>
      </c>
      <c r="I24" s="7">
        <v>44965.0</v>
      </c>
      <c r="J24" s="1" t="s">
        <v>150</v>
      </c>
      <c r="K24" s="1" t="s">
        <v>151</v>
      </c>
      <c r="L24" s="16">
        <v>279868.0</v>
      </c>
      <c r="M24" s="8">
        <f t="shared" si="1"/>
        <v>1</v>
      </c>
    </row>
    <row r="25">
      <c r="A25" s="1" t="s">
        <v>152</v>
      </c>
      <c r="B25" s="1" t="s">
        <v>14</v>
      </c>
      <c r="C25" s="1" t="s">
        <v>30</v>
      </c>
      <c r="D25" s="4">
        <v>42878.0</v>
      </c>
      <c r="E25" s="4">
        <v>44420.0</v>
      </c>
      <c r="F25" s="1" t="s">
        <v>153</v>
      </c>
      <c r="G25" s="1" t="s">
        <v>154</v>
      </c>
      <c r="H25" s="2">
        <v>1886.0</v>
      </c>
      <c r="I25" s="7">
        <v>44359.75</v>
      </c>
      <c r="J25" s="1" t="s">
        <v>155</v>
      </c>
      <c r="K25" s="1" t="s">
        <v>156</v>
      </c>
      <c r="L25" s="16" t="s">
        <v>157</v>
      </c>
      <c r="M25" s="8">
        <f t="shared" si="1"/>
        <v>1</v>
      </c>
    </row>
    <row r="26">
      <c r="A26" s="1" t="s">
        <v>158</v>
      </c>
      <c r="B26" s="1" t="s">
        <v>79</v>
      </c>
      <c r="C26" s="1" t="s">
        <v>30</v>
      </c>
      <c r="D26" s="4">
        <v>44364.0</v>
      </c>
      <c r="E26" s="4">
        <v>44893.0</v>
      </c>
      <c r="F26" s="1" t="s">
        <v>153</v>
      </c>
      <c r="G26" s="1" t="s">
        <v>154</v>
      </c>
      <c r="H26" s="2">
        <v>1886.0</v>
      </c>
      <c r="I26" s="13">
        <v>44893.666666666664</v>
      </c>
      <c r="J26" s="1" t="s">
        <v>159</v>
      </c>
      <c r="K26" s="1" t="s">
        <v>160</v>
      </c>
      <c r="L26" s="16" t="s">
        <v>161</v>
      </c>
      <c r="M26" s="8">
        <f t="shared" si="1"/>
        <v>1</v>
      </c>
    </row>
    <row r="27">
      <c r="A27" s="1" t="s">
        <v>162</v>
      </c>
      <c r="B27" s="1" t="s">
        <v>14</v>
      </c>
      <c r="C27" s="1" t="s">
        <v>30</v>
      </c>
      <c r="D27" s="4">
        <v>39907.0</v>
      </c>
      <c r="E27" s="4">
        <v>44992.0</v>
      </c>
      <c r="F27" s="1" t="s">
        <v>163</v>
      </c>
      <c r="G27" s="1" t="s">
        <v>164</v>
      </c>
      <c r="H27" s="2">
        <v>1840.0</v>
      </c>
      <c r="I27" s="7">
        <v>44965.0</v>
      </c>
      <c r="J27" s="1" t="s">
        <v>165</v>
      </c>
      <c r="K27" s="1" t="s">
        <v>166</v>
      </c>
      <c r="L27" s="2">
        <v>1823.0</v>
      </c>
      <c r="M27" s="8">
        <f t="shared" si="1"/>
        <v>1</v>
      </c>
    </row>
    <row r="28">
      <c r="A28" s="1" t="s">
        <v>167</v>
      </c>
      <c r="B28" s="1" t="s">
        <v>14</v>
      </c>
      <c r="C28" s="1" t="s">
        <v>30</v>
      </c>
      <c r="D28" s="4">
        <v>39693.0</v>
      </c>
      <c r="E28" s="4">
        <v>44992.0</v>
      </c>
      <c r="F28" s="1" t="s">
        <v>168</v>
      </c>
      <c r="G28" s="1" t="s">
        <v>169</v>
      </c>
      <c r="H28" s="2">
        <v>1270.0</v>
      </c>
      <c r="I28" s="3">
        <v>44797.0</v>
      </c>
      <c r="J28" s="9" t="s">
        <v>170</v>
      </c>
      <c r="K28" s="9" t="s">
        <v>171</v>
      </c>
      <c r="L28" s="20" t="s">
        <v>172</v>
      </c>
      <c r="M28" s="8">
        <f t="shared" si="1"/>
        <v>1</v>
      </c>
    </row>
    <row r="29">
      <c r="A29" s="1" t="s">
        <v>173</v>
      </c>
      <c r="B29" s="1" t="s">
        <v>14</v>
      </c>
      <c r="C29" s="1" t="s">
        <v>30</v>
      </c>
      <c r="D29" s="4">
        <v>44775.0</v>
      </c>
      <c r="E29" s="4">
        <v>44992.0</v>
      </c>
      <c r="F29" s="1" t="s">
        <v>174</v>
      </c>
      <c r="G29" s="1" t="s">
        <v>175</v>
      </c>
      <c r="H29" s="2">
        <v>1167.0</v>
      </c>
      <c r="I29" s="7">
        <v>44965.5</v>
      </c>
      <c r="J29" s="1" t="s">
        <v>176</v>
      </c>
      <c r="K29" s="1" t="s">
        <v>177</v>
      </c>
      <c r="L29" s="16" t="s">
        <v>178</v>
      </c>
      <c r="M29" s="8">
        <f t="shared" si="1"/>
        <v>1</v>
      </c>
    </row>
    <row r="30">
      <c r="A30" s="1" t="s">
        <v>179</v>
      </c>
      <c r="B30" s="1" t="s">
        <v>14</v>
      </c>
      <c r="C30" s="1" t="s">
        <v>30</v>
      </c>
      <c r="D30" s="4">
        <v>39314.0</v>
      </c>
      <c r="E30" s="4">
        <v>44979.0</v>
      </c>
      <c r="F30" s="1" t="s">
        <v>180</v>
      </c>
      <c r="G30" s="1" t="s">
        <v>181</v>
      </c>
      <c r="H30" s="2">
        <v>1130.0</v>
      </c>
      <c r="I30" s="7">
        <v>44792.5</v>
      </c>
      <c r="J30" s="1" t="s">
        <v>182</v>
      </c>
      <c r="K30" s="1" t="s">
        <v>183</v>
      </c>
      <c r="L30" s="2">
        <v>1123.0</v>
      </c>
      <c r="M30" s="8">
        <f t="shared" si="1"/>
        <v>1</v>
      </c>
    </row>
    <row r="31">
      <c r="A31" s="1" t="s">
        <v>184</v>
      </c>
      <c r="B31" s="1" t="s">
        <v>14</v>
      </c>
      <c r="C31" s="1" t="s">
        <v>30</v>
      </c>
      <c r="D31" s="4">
        <v>44074.0</v>
      </c>
      <c r="E31" s="4">
        <v>44992.0</v>
      </c>
      <c r="F31" s="1" t="s">
        <v>180</v>
      </c>
      <c r="G31" s="1" t="s">
        <v>181</v>
      </c>
      <c r="H31" s="2">
        <v>1130.0</v>
      </c>
      <c r="I31" s="7">
        <v>44965.5</v>
      </c>
      <c r="J31" s="1" t="s">
        <v>185</v>
      </c>
      <c r="K31" s="1" t="s">
        <v>186</v>
      </c>
      <c r="L31" s="16" t="s">
        <v>187</v>
      </c>
      <c r="M31" s="8">
        <f t="shared" si="1"/>
        <v>1</v>
      </c>
    </row>
    <row r="32">
      <c r="A32" s="1" t="s">
        <v>188</v>
      </c>
      <c r="B32" s="1" t="s">
        <v>14</v>
      </c>
      <c r="C32" s="1" t="s">
        <v>30</v>
      </c>
      <c r="D32" s="4">
        <v>44048.0</v>
      </c>
      <c r="E32" s="4">
        <v>44971.0</v>
      </c>
      <c r="F32" s="1" t="s">
        <v>189</v>
      </c>
      <c r="G32" s="1" t="s">
        <v>190</v>
      </c>
      <c r="H32" s="2">
        <v>1123.0</v>
      </c>
      <c r="I32" s="7">
        <v>44965.5</v>
      </c>
      <c r="J32" s="1" t="s">
        <v>191</v>
      </c>
      <c r="K32" s="1" t="s">
        <v>192</v>
      </c>
      <c r="L32" s="16" t="s">
        <v>193</v>
      </c>
      <c r="M32" s="8">
        <f t="shared" si="1"/>
        <v>1</v>
      </c>
    </row>
    <row r="33">
      <c r="A33" s="1" t="s">
        <v>194</v>
      </c>
      <c r="B33" s="1" t="s">
        <v>14</v>
      </c>
      <c r="C33" s="1" t="s">
        <v>30</v>
      </c>
      <c r="D33" s="4">
        <v>41141.0</v>
      </c>
      <c r="E33" s="4">
        <v>42240.0</v>
      </c>
      <c r="F33" s="1" t="s">
        <v>195</v>
      </c>
      <c r="G33" s="1" t="s">
        <v>196</v>
      </c>
      <c r="H33" s="2">
        <v>1000.0</v>
      </c>
      <c r="I33" s="7">
        <v>42240.0</v>
      </c>
      <c r="J33" s="1" t="s">
        <v>195</v>
      </c>
      <c r="K33" s="1" t="s">
        <v>196</v>
      </c>
      <c r="L33" s="2">
        <v>1000.0</v>
      </c>
      <c r="M33" s="8">
        <f t="shared" si="1"/>
        <v>1</v>
      </c>
    </row>
    <row r="34">
      <c r="A34" s="1" t="s">
        <v>197</v>
      </c>
      <c r="B34" s="1" t="s">
        <v>14</v>
      </c>
      <c r="C34" s="1" t="s">
        <v>30</v>
      </c>
      <c r="D34" s="4">
        <v>39650.0</v>
      </c>
      <c r="E34" s="4">
        <v>44992.0</v>
      </c>
      <c r="F34" s="1" t="s">
        <v>198</v>
      </c>
      <c r="G34" s="1" t="s">
        <v>199</v>
      </c>
      <c r="H34" s="2">
        <v>980.0</v>
      </c>
      <c r="I34" s="7">
        <v>44965.0</v>
      </c>
      <c r="J34" s="1" t="s">
        <v>200</v>
      </c>
      <c r="K34" s="1" t="s">
        <v>201</v>
      </c>
      <c r="L34" s="2" t="s">
        <v>136</v>
      </c>
      <c r="M34" s="8">
        <f t="shared" si="1"/>
        <v>1</v>
      </c>
    </row>
    <row r="35">
      <c r="A35" s="1" t="s">
        <v>202</v>
      </c>
      <c r="B35" s="1" t="s">
        <v>14</v>
      </c>
      <c r="C35" s="1" t="s">
        <v>30</v>
      </c>
      <c r="D35" s="4">
        <v>40043.0</v>
      </c>
      <c r="E35" s="4">
        <v>44992.0</v>
      </c>
      <c r="F35" s="1" t="s">
        <v>203</v>
      </c>
      <c r="G35" s="1" t="s">
        <v>204</v>
      </c>
      <c r="H35" s="2">
        <v>940.0</v>
      </c>
      <c r="I35" s="7">
        <v>44962.0</v>
      </c>
      <c r="J35" s="1" t="s">
        <v>205</v>
      </c>
      <c r="K35" s="1" t="s">
        <v>206</v>
      </c>
      <c r="L35" s="2" t="s">
        <v>207</v>
      </c>
      <c r="M35" s="8">
        <f t="shared" si="1"/>
        <v>1</v>
      </c>
    </row>
    <row r="36">
      <c r="A36" s="1" t="s">
        <v>208</v>
      </c>
      <c r="B36" s="1" t="s">
        <v>14</v>
      </c>
      <c r="C36" s="1" t="s">
        <v>30</v>
      </c>
      <c r="D36" s="4">
        <v>40384.0</v>
      </c>
      <c r="E36" s="4">
        <v>41845.0</v>
      </c>
      <c r="F36" s="1" t="s">
        <v>209</v>
      </c>
      <c r="G36" s="1" t="s">
        <v>210</v>
      </c>
      <c r="H36" s="2">
        <v>920.0</v>
      </c>
      <c r="I36" s="7">
        <v>41845.0</v>
      </c>
      <c r="J36" s="1" t="s">
        <v>209</v>
      </c>
      <c r="K36" s="1" t="s">
        <v>210</v>
      </c>
      <c r="L36" s="2">
        <v>920.0</v>
      </c>
      <c r="M36" s="8">
        <f t="shared" si="1"/>
        <v>1</v>
      </c>
    </row>
    <row r="37">
      <c r="A37" s="1" t="s">
        <v>211</v>
      </c>
      <c r="B37" s="1" t="s">
        <v>14</v>
      </c>
      <c r="C37" s="1" t="s">
        <v>30</v>
      </c>
      <c r="D37" s="4">
        <v>39667.0</v>
      </c>
      <c r="E37" s="4">
        <v>44992.0</v>
      </c>
      <c r="F37" s="1" t="s">
        <v>212</v>
      </c>
      <c r="G37" s="1" t="s">
        <v>213</v>
      </c>
      <c r="H37" s="2">
        <v>900.0</v>
      </c>
      <c r="I37" s="7">
        <v>44965.0</v>
      </c>
      <c r="J37" s="1" t="s">
        <v>214</v>
      </c>
      <c r="K37" s="1" t="s">
        <v>215</v>
      </c>
      <c r="L37" s="2" t="s">
        <v>216</v>
      </c>
      <c r="M37" s="8">
        <f t="shared" si="1"/>
        <v>1</v>
      </c>
    </row>
    <row r="38">
      <c r="A38" s="1" t="s">
        <v>217</v>
      </c>
      <c r="B38" s="1" t="s">
        <v>14</v>
      </c>
      <c r="C38" s="1" t="s">
        <v>30</v>
      </c>
      <c r="D38" s="4">
        <v>44072.0</v>
      </c>
      <c r="E38" s="4">
        <v>44966.0</v>
      </c>
      <c r="F38" s="1" t="s">
        <v>212</v>
      </c>
      <c r="G38" s="1" t="s">
        <v>213</v>
      </c>
      <c r="H38" s="2">
        <v>900.0</v>
      </c>
      <c r="I38" s="7">
        <v>44965.5</v>
      </c>
      <c r="J38" s="1" t="s">
        <v>218</v>
      </c>
      <c r="K38" s="1" t="s">
        <v>219</v>
      </c>
      <c r="L38" s="2" t="s">
        <v>220</v>
      </c>
      <c r="M38" s="8">
        <f t="shared" si="1"/>
        <v>1</v>
      </c>
    </row>
    <row r="39">
      <c r="A39" s="1" t="s">
        <v>221</v>
      </c>
      <c r="B39" s="1" t="s">
        <v>14</v>
      </c>
      <c r="C39" s="1" t="s">
        <v>30</v>
      </c>
      <c r="D39" s="4">
        <v>42229.0</v>
      </c>
      <c r="E39" s="4">
        <v>44992.0</v>
      </c>
      <c r="F39" s="1" t="s">
        <v>222</v>
      </c>
      <c r="G39" s="1" t="s">
        <v>223</v>
      </c>
      <c r="H39" s="2">
        <v>890.0</v>
      </c>
      <c r="I39" s="7">
        <v>44965.0</v>
      </c>
      <c r="J39" s="1" t="s">
        <v>224</v>
      </c>
      <c r="K39" s="1" t="s">
        <v>225</v>
      </c>
      <c r="L39" s="2" t="s">
        <v>136</v>
      </c>
      <c r="M39" s="8">
        <f t="shared" si="1"/>
        <v>1</v>
      </c>
    </row>
    <row r="40">
      <c r="A40" s="1" t="s">
        <v>226</v>
      </c>
      <c r="B40" s="1" t="s">
        <v>14</v>
      </c>
      <c r="C40" s="1" t="s">
        <v>30</v>
      </c>
      <c r="D40" s="4">
        <v>39646.0</v>
      </c>
      <c r="E40" s="4">
        <v>44992.0</v>
      </c>
      <c r="F40" s="1" t="s">
        <v>227</v>
      </c>
      <c r="G40" s="1" t="s">
        <v>228</v>
      </c>
      <c r="H40" s="2">
        <v>870.0</v>
      </c>
      <c r="I40" s="7">
        <v>44965.0</v>
      </c>
      <c r="J40" s="1" t="s">
        <v>229</v>
      </c>
      <c r="K40" s="1" t="s">
        <v>230</v>
      </c>
      <c r="L40" s="2" t="s">
        <v>231</v>
      </c>
      <c r="M40" s="8">
        <f t="shared" si="1"/>
        <v>1</v>
      </c>
    </row>
    <row r="41">
      <c r="A41" s="1" t="s">
        <v>232</v>
      </c>
      <c r="B41" s="1" t="s">
        <v>14</v>
      </c>
      <c r="C41" s="1" t="s">
        <v>30</v>
      </c>
      <c r="D41" s="4">
        <v>44709.0</v>
      </c>
      <c r="E41" s="4">
        <v>44946.0</v>
      </c>
      <c r="F41" s="1" t="s">
        <v>227</v>
      </c>
      <c r="G41" s="1" t="s">
        <v>228</v>
      </c>
      <c r="H41" s="2">
        <v>870.0</v>
      </c>
      <c r="I41" s="13">
        <v>57307.958333333336</v>
      </c>
      <c r="J41" s="1" t="s">
        <v>233</v>
      </c>
      <c r="K41" s="1" t="s">
        <v>234</v>
      </c>
      <c r="L41" s="2">
        <v>866.0</v>
      </c>
      <c r="M41" s="8">
        <f t="shared" si="1"/>
        <v>1</v>
      </c>
    </row>
    <row r="42">
      <c r="A42" s="1" t="s">
        <v>235</v>
      </c>
      <c r="B42" s="1" t="s">
        <v>14</v>
      </c>
      <c r="C42" s="1" t="s">
        <v>30</v>
      </c>
      <c r="D42" s="4">
        <v>40710.0</v>
      </c>
      <c r="E42" s="4">
        <v>44831.0</v>
      </c>
      <c r="F42" s="1" t="s">
        <v>236</v>
      </c>
      <c r="G42" s="1" t="s">
        <v>237</v>
      </c>
      <c r="H42" s="2">
        <v>770.0</v>
      </c>
      <c r="I42" s="7">
        <v>44831.208333333336</v>
      </c>
      <c r="J42" s="1" t="s">
        <v>238</v>
      </c>
      <c r="K42" s="1" t="s">
        <v>239</v>
      </c>
      <c r="L42" s="2" t="s">
        <v>240</v>
      </c>
      <c r="M42" s="8">
        <f t="shared" si="1"/>
        <v>1</v>
      </c>
    </row>
    <row r="43">
      <c r="A43" s="1" t="s">
        <v>241</v>
      </c>
      <c r="B43" s="1" t="s">
        <v>14</v>
      </c>
      <c r="C43" s="1" t="s">
        <v>30</v>
      </c>
      <c r="D43" s="4">
        <v>43242.0</v>
      </c>
      <c r="E43" s="4">
        <v>44992.0</v>
      </c>
      <c r="F43" s="1" t="s">
        <v>236</v>
      </c>
      <c r="G43" s="1" t="s">
        <v>237</v>
      </c>
      <c r="H43" s="2">
        <v>770.0</v>
      </c>
      <c r="I43" s="7">
        <v>44965.0</v>
      </c>
      <c r="J43" s="1" t="s">
        <v>242</v>
      </c>
      <c r="K43" s="1" t="s">
        <v>243</v>
      </c>
      <c r="L43" s="2" t="s">
        <v>244</v>
      </c>
      <c r="M43" s="8">
        <f t="shared" si="1"/>
        <v>1</v>
      </c>
    </row>
    <row r="44">
      <c r="A44" s="1" t="s">
        <v>245</v>
      </c>
      <c r="B44" s="1" t="s">
        <v>14</v>
      </c>
      <c r="C44" s="1" t="s">
        <v>22</v>
      </c>
      <c r="D44" s="4">
        <v>41848.0</v>
      </c>
      <c r="E44" s="4">
        <v>44992.0</v>
      </c>
      <c r="F44" s="1" t="s">
        <v>246</v>
      </c>
      <c r="G44" s="1" t="s">
        <v>247</v>
      </c>
      <c r="H44" s="2">
        <v>710.0</v>
      </c>
      <c r="I44" s="7">
        <v>44963.0</v>
      </c>
      <c r="J44" s="1" t="s">
        <v>248</v>
      </c>
      <c r="K44" s="1" t="s">
        <v>249</v>
      </c>
      <c r="L44" s="2" t="s">
        <v>250</v>
      </c>
      <c r="M44" s="8">
        <f t="shared" si="1"/>
        <v>0</v>
      </c>
    </row>
    <row r="45">
      <c r="A45" s="1" t="s">
        <v>251</v>
      </c>
      <c r="B45" s="1" t="s">
        <v>14</v>
      </c>
      <c r="C45" s="1" t="s">
        <v>30</v>
      </c>
      <c r="D45" s="4">
        <v>39692.0</v>
      </c>
      <c r="E45" s="4">
        <v>44992.0</v>
      </c>
      <c r="F45" s="1" t="s">
        <v>252</v>
      </c>
      <c r="G45" s="1" t="s">
        <v>253</v>
      </c>
      <c r="H45" s="2">
        <v>680.0</v>
      </c>
      <c r="I45" s="7">
        <v>44965.0</v>
      </c>
      <c r="J45" s="1" t="s">
        <v>254</v>
      </c>
      <c r="K45" s="1" t="s">
        <v>255</v>
      </c>
      <c r="L45" s="2" t="s">
        <v>256</v>
      </c>
      <c r="M45" s="8">
        <f t="shared" si="1"/>
        <v>1</v>
      </c>
    </row>
    <row r="46">
      <c r="A46" s="1" t="s">
        <v>257</v>
      </c>
      <c r="B46" s="1" t="s">
        <v>14</v>
      </c>
      <c r="C46" s="1" t="s">
        <v>30</v>
      </c>
      <c r="D46" s="4">
        <v>39518.0</v>
      </c>
      <c r="E46" s="4">
        <v>42229.0</v>
      </c>
      <c r="F46" s="1" t="s">
        <v>258</v>
      </c>
      <c r="G46" s="1" t="s">
        <v>259</v>
      </c>
      <c r="H46" s="2">
        <v>570.0</v>
      </c>
      <c r="I46" s="7">
        <v>42229.0</v>
      </c>
      <c r="J46" s="1" t="s">
        <v>258</v>
      </c>
      <c r="K46" s="1" t="s">
        <v>259</v>
      </c>
      <c r="L46" s="2">
        <v>570.0</v>
      </c>
      <c r="M46" s="8">
        <f t="shared" si="1"/>
        <v>1</v>
      </c>
    </row>
    <row r="47">
      <c r="A47" s="1" t="s">
        <v>260</v>
      </c>
      <c r="B47" s="1" t="s">
        <v>14</v>
      </c>
      <c r="C47" s="1" t="s">
        <v>30</v>
      </c>
      <c r="D47" s="4">
        <v>40399.0</v>
      </c>
      <c r="E47" s="4">
        <v>44992.0</v>
      </c>
      <c r="F47" s="1" t="s">
        <v>261</v>
      </c>
      <c r="G47" s="1" t="s">
        <v>262</v>
      </c>
      <c r="H47" s="2">
        <v>570.0</v>
      </c>
      <c r="I47" s="7">
        <v>44965.0</v>
      </c>
      <c r="J47" s="1" t="s">
        <v>263</v>
      </c>
      <c r="K47" s="1" t="s">
        <v>264</v>
      </c>
      <c r="L47" s="2" t="s">
        <v>265</v>
      </c>
      <c r="M47" s="8">
        <f t="shared" si="1"/>
        <v>1</v>
      </c>
    </row>
    <row r="48">
      <c r="A48" s="1" t="s">
        <v>266</v>
      </c>
      <c r="B48" s="1" t="s">
        <v>14</v>
      </c>
      <c r="C48" s="1" t="s">
        <v>30</v>
      </c>
      <c r="D48" s="4">
        <v>44456.0</v>
      </c>
      <c r="E48" s="4">
        <v>44992.0</v>
      </c>
      <c r="F48" s="1" t="s">
        <v>261</v>
      </c>
      <c r="G48" s="1" t="s">
        <v>262</v>
      </c>
      <c r="H48" s="2">
        <v>570.0</v>
      </c>
      <c r="I48" s="7">
        <v>44965.0</v>
      </c>
      <c r="J48" s="1" t="s">
        <v>267</v>
      </c>
      <c r="K48" s="1" t="s">
        <v>268</v>
      </c>
      <c r="L48" s="2" t="s">
        <v>269</v>
      </c>
      <c r="M48" s="8">
        <f t="shared" si="1"/>
        <v>1</v>
      </c>
    </row>
    <row r="49">
      <c r="A49" s="1" t="s">
        <v>270</v>
      </c>
      <c r="B49" s="1" t="s">
        <v>14</v>
      </c>
      <c r="C49" s="1" t="s">
        <v>30</v>
      </c>
      <c r="D49" s="4">
        <v>39314.0</v>
      </c>
      <c r="E49" s="4">
        <v>44992.0</v>
      </c>
      <c r="F49" s="1" t="s">
        <v>271</v>
      </c>
      <c r="G49" s="1" t="s">
        <v>272</v>
      </c>
      <c r="H49" s="2">
        <v>540.0</v>
      </c>
      <c r="I49" s="7">
        <v>44965.0</v>
      </c>
      <c r="J49" s="1" t="s">
        <v>273</v>
      </c>
      <c r="K49" s="1" t="s">
        <v>274</v>
      </c>
      <c r="L49" s="2" t="s">
        <v>275</v>
      </c>
      <c r="M49" s="8">
        <f t="shared" si="1"/>
        <v>1</v>
      </c>
    </row>
    <row r="50">
      <c r="A50" s="1" t="s">
        <v>276</v>
      </c>
      <c r="B50" s="1" t="s">
        <v>14</v>
      </c>
      <c r="C50" s="1" t="s">
        <v>30</v>
      </c>
      <c r="D50" s="4">
        <v>39651.0</v>
      </c>
      <c r="E50" s="4">
        <v>44992.0</v>
      </c>
      <c r="F50" s="1" t="s">
        <v>277</v>
      </c>
      <c r="G50" s="1" t="s">
        <v>278</v>
      </c>
      <c r="H50" s="2">
        <v>470.0</v>
      </c>
      <c r="I50" s="7">
        <v>44959.0</v>
      </c>
      <c r="J50" s="1" t="s">
        <v>279</v>
      </c>
      <c r="K50" s="1" t="s">
        <v>280</v>
      </c>
      <c r="L50" s="2" t="s">
        <v>136</v>
      </c>
      <c r="M50" s="8">
        <f t="shared" si="1"/>
        <v>1</v>
      </c>
    </row>
    <row r="51">
      <c r="A51" s="1" t="s">
        <v>281</v>
      </c>
      <c r="B51" s="1" t="s">
        <v>14</v>
      </c>
      <c r="C51" s="1" t="s">
        <v>22</v>
      </c>
      <c r="D51" s="4">
        <v>39937.0</v>
      </c>
      <c r="E51" s="4">
        <v>44992.0</v>
      </c>
      <c r="F51" s="1" t="s">
        <v>282</v>
      </c>
      <c r="G51" s="1" t="s">
        <v>283</v>
      </c>
      <c r="H51" s="2">
        <v>450.0</v>
      </c>
      <c r="I51" s="7">
        <v>44965.0</v>
      </c>
      <c r="J51" s="1" t="s">
        <v>284</v>
      </c>
      <c r="K51" s="1" t="s">
        <v>285</v>
      </c>
      <c r="L51" s="2" t="s">
        <v>286</v>
      </c>
      <c r="M51" s="8">
        <f t="shared" si="1"/>
        <v>0</v>
      </c>
    </row>
    <row r="52">
      <c r="A52" s="1" t="s">
        <v>287</v>
      </c>
      <c r="B52" s="1" t="s">
        <v>14</v>
      </c>
      <c r="C52" s="1" t="s">
        <v>30</v>
      </c>
      <c r="D52" s="4">
        <v>39646.0</v>
      </c>
      <c r="E52" s="4">
        <v>44992.0</v>
      </c>
      <c r="F52" s="1" t="s">
        <v>288</v>
      </c>
      <c r="G52" s="1" t="s">
        <v>289</v>
      </c>
      <c r="H52" s="2">
        <v>370.0</v>
      </c>
      <c r="I52" s="7">
        <v>44965.0</v>
      </c>
      <c r="J52" s="1" t="s">
        <v>290</v>
      </c>
      <c r="K52" s="1" t="s">
        <v>291</v>
      </c>
      <c r="L52" s="2" t="s">
        <v>292</v>
      </c>
      <c r="M52" s="8">
        <f t="shared" si="1"/>
        <v>1</v>
      </c>
    </row>
    <row r="53">
      <c r="A53" s="1" t="s">
        <v>293</v>
      </c>
      <c r="B53" s="1" t="s">
        <v>14</v>
      </c>
      <c r="C53" s="1" t="s">
        <v>30</v>
      </c>
      <c r="D53" s="4">
        <v>44709.0</v>
      </c>
      <c r="E53" s="4">
        <v>44934.0</v>
      </c>
      <c r="F53" s="1" t="s">
        <v>288</v>
      </c>
      <c r="G53" s="1" t="s">
        <v>289</v>
      </c>
      <c r="H53" s="2">
        <v>370.0</v>
      </c>
      <c r="I53" s="7">
        <v>44934.666666666664</v>
      </c>
      <c r="J53" s="1" t="s">
        <v>294</v>
      </c>
      <c r="K53" s="1" t="s">
        <v>295</v>
      </c>
      <c r="L53" s="2" t="s">
        <v>296</v>
      </c>
      <c r="M53" s="8">
        <f t="shared" si="1"/>
        <v>1</v>
      </c>
    </row>
    <row r="54">
      <c r="A54" s="1" t="s">
        <v>297</v>
      </c>
      <c r="B54" s="1" t="s">
        <v>14</v>
      </c>
      <c r="C54" s="1" t="s">
        <v>127</v>
      </c>
      <c r="D54" s="4">
        <v>40646.0</v>
      </c>
      <c r="E54" s="4">
        <v>44992.0</v>
      </c>
      <c r="F54" s="1" t="s">
        <v>298</v>
      </c>
      <c r="G54" s="1" t="s">
        <v>299</v>
      </c>
      <c r="H54" s="2">
        <v>350.0</v>
      </c>
      <c r="I54" s="3">
        <v>45058.0</v>
      </c>
      <c r="J54" s="1" t="s">
        <v>298</v>
      </c>
      <c r="K54" s="1" t="s">
        <v>299</v>
      </c>
      <c r="L54" s="2">
        <v>350.0</v>
      </c>
      <c r="M54" s="8">
        <f t="shared" si="1"/>
        <v>0</v>
      </c>
    </row>
    <row r="55">
      <c r="A55" s="1" t="s">
        <v>300</v>
      </c>
      <c r="B55" s="1" t="s">
        <v>14</v>
      </c>
      <c r="C55" s="1" t="s">
        <v>30</v>
      </c>
      <c r="D55" s="4">
        <v>39318.0</v>
      </c>
      <c r="E55" s="4">
        <v>44992.0</v>
      </c>
      <c r="F55" s="1" t="s">
        <v>301</v>
      </c>
      <c r="G55" s="1" t="s">
        <v>302</v>
      </c>
      <c r="H55" s="2">
        <v>280.0</v>
      </c>
      <c r="I55" s="7">
        <v>44965.0</v>
      </c>
      <c r="J55" s="1" t="s">
        <v>303</v>
      </c>
      <c r="K55" s="1" t="s">
        <v>304</v>
      </c>
      <c r="L55" s="2" t="s">
        <v>305</v>
      </c>
      <c r="M55" s="8">
        <f t="shared" si="1"/>
        <v>1</v>
      </c>
    </row>
    <row r="56">
      <c r="A56" s="1" t="s">
        <v>306</v>
      </c>
      <c r="B56" s="1" t="s">
        <v>14</v>
      </c>
      <c r="C56" s="1" t="s">
        <v>30</v>
      </c>
      <c r="D56" s="4">
        <v>44802.0</v>
      </c>
      <c r="E56" s="4">
        <v>44992.0</v>
      </c>
      <c r="F56" s="1" t="s">
        <v>301</v>
      </c>
      <c r="G56" s="1" t="s">
        <v>302</v>
      </c>
      <c r="H56" s="2">
        <v>280.0</v>
      </c>
      <c r="I56" s="7">
        <v>44977.0</v>
      </c>
      <c r="J56" s="1" t="s">
        <v>307</v>
      </c>
      <c r="K56" s="1" t="s">
        <v>308</v>
      </c>
      <c r="L56" s="2" t="s">
        <v>309</v>
      </c>
      <c r="M56" s="8">
        <f t="shared" si="1"/>
        <v>1</v>
      </c>
    </row>
    <row r="57">
      <c r="A57" s="1" t="s">
        <v>310</v>
      </c>
      <c r="B57" s="1" t="s">
        <v>14</v>
      </c>
      <c r="C57" s="1" t="s">
        <v>30</v>
      </c>
      <c r="D57" s="4">
        <v>39317.0</v>
      </c>
      <c r="E57" s="4">
        <v>44992.0</v>
      </c>
      <c r="F57" s="1" t="s">
        <v>311</v>
      </c>
      <c r="G57" s="1" t="s">
        <v>312</v>
      </c>
      <c r="H57" s="2">
        <v>260.0</v>
      </c>
      <c r="I57" s="7">
        <v>44965.0</v>
      </c>
      <c r="J57" s="1" t="s">
        <v>313</v>
      </c>
      <c r="K57" s="1" t="s">
        <v>314</v>
      </c>
      <c r="L57" s="2" t="s">
        <v>315</v>
      </c>
      <c r="M57" s="8">
        <f t="shared" si="1"/>
        <v>1</v>
      </c>
    </row>
    <row r="58">
      <c r="A58" s="1" t="s">
        <v>316</v>
      </c>
      <c r="B58" s="1" t="s">
        <v>14</v>
      </c>
      <c r="C58" s="1" t="s">
        <v>30</v>
      </c>
      <c r="D58" s="4">
        <v>40042.0</v>
      </c>
      <c r="E58" s="4">
        <v>44992.0</v>
      </c>
      <c r="F58" s="1" t="s">
        <v>317</v>
      </c>
      <c r="G58" s="1" t="s">
        <v>318</v>
      </c>
      <c r="H58" s="2">
        <v>220.0</v>
      </c>
      <c r="I58" s="7">
        <v>44965.0</v>
      </c>
      <c r="J58" s="1" t="s">
        <v>319</v>
      </c>
      <c r="K58" s="1" t="s">
        <v>320</v>
      </c>
      <c r="L58" s="2" t="s">
        <v>321</v>
      </c>
      <c r="M58" s="8">
        <f t="shared" si="1"/>
        <v>1</v>
      </c>
    </row>
    <row r="59">
      <c r="H59" s="21"/>
      <c r="L59" s="21"/>
      <c r="O59" s="8">
        <f>SUM(M2:M58)</f>
        <v>45</v>
      </c>
    </row>
    <row r="60">
      <c r="H60" s="21"/>
      <c r="L60" s="21"/>
    </row>
    <row r="61">
      <c r="H61" s="21"/>
      <c r="L61" s="21"/>
    </row>
    <row r="62">
      <c r="H62" s="21"/>
      <c r="L62" s="21"/>
    </row>
    <row r="63">
      <c r="H63" s="21"/>
      <c r="L63" s="21"/>
    </row>
    <row r="64">
      <c r="H64" s="21"/>
      <c r="L64" s="21"/>
    </row>
    <row r="65">
      <c r="H65" s="21"/>
      <c r="L65" s="21"/>
    </row>
    <row r="66">
      <c r="H66" s="21"/>
      <c r="L66" s="21"/>
    </row>
    <row r="67">
      <c r="H67" s="21"/>
      <c r="L67" s="21"/>
    </row>
    <row r="68">
      <c r="H68" s="21"/>
      <c r="L68" s="21"/>
    </row>
    <row r="69">
      <c r="H69" s="21"/>
      <c r="L69" s="21"/>
    </row>
    <row r="70">
      <c r="H70" s="21"/>
      <c r="L70" s="21"/>
    </row>
    <row r="71">
      <c r="H71" s="21"/>
      <c r="L71" s="21"/>
    </row>
    <row r="72">
      <c r="H72" s="21"/>
      <c r="L72" s="21"/>
    </row>
    <row r="73">
      <c r="H73" s="21"/>
      <c r="L73" s="21"/>
    </row>
    <row r="74">
      <c r="H74" s="21"/>
      <c r="L74" s="21"/>
    </row>
    <row r="75">
      <c r="H75" s="21"/>
      <c r="L75" s="21"/>
    </row>
    <row r="76">
      <c r="H76" s="21"/>
      <c r="L76" s="21"/>
    </row>
    <row r="77">
      <c r="H77" s="21"/>
      <c r="L77" s="21"/>
    </row>
    <row r="78">
      <c r="H78" s="21"/>
      <c r="L78" s="21"/>
    </row>
    <row r="79">
      <c r="H79" s="21"/>
      <c r="L79" s="21"/>
    </row>
    <row r="80">
      <c r="H80" s="21"/>
      <c r="L80" s="21"/>
    </row>
    <row r="81">
      <c r="H81" s="21"/>
      <c r="L81" s="21"/>
    </row>
    <row r="82">
      <c r="H82" s="21"/>
      <c r="L82" s="21"/>
    </row>
    <row r="83">
      <c r="H83" s="21"/>
      <c r="L83" s="21"/>
    </row>
    <row r="84">
      <c r="H84" s="21"/>
      <c r="L84" s="21"/>
    </row>
    <row r="85">
      <c r="H85" s="21"/>
      <c r="L85" s="21"/>
    </row>
    <row r="86">
      <c r="H86" s="21"/>
      <c r="L86" s="21"/>
    </row>
    <row r="87">
      <c r="H87" s="21"/>
      <c r="L87" s="21"/>
    </row>
    <row r="88">
      <c r="H88" s="21"/>
      <c r="L88" s="21"/>
    </row>
    <row r="89">
      <c r="H89" s="21"/>
      <c r="L89" s="21"/>
    </row>
    <row r="90">
      <c r="H90" s="21"/>
      <c r="L90" s="21"/>
    </row>
    <row r="91">
      <c r="H91" s="21"/>
      <c r="L91" s="21"/>
    </row>
    <row r="92">
      <c r="H92" s="21"/>
      <c r="L92" s="21"/>
    </row>
    <row r="93">
      <c r="H93" s="21"/>
      <c r="L93" s="21"/>
    </row>
    <row r="94">
      <c r="H94" s="21"/>
      <c r="L94" s="21"/>
    </row>
    <row r="95">
      <c r="H95" s="21"/>
      <c r="L95" s="21"/>
    </row>
    <row r="96">
      <c r="H96" s="21"/>
      <c r="L96" s="21"/>
    </row>
    <row r="97">
      <c r="H97" s="21"/>
      <c r="L97" s="21"/>
    </row>
    <row r="98">
      <c r="H98" s="21"/>
      <c r="L98" s="21"/>
    </row>
    <row r="99">
      <c r="H99" s="21"/>
      <c r="L99" s="21"/>
    </row>
    <row r="100">
      <c r="H100" s="21"/>
      <c r="L100" s="21"/>
    </row>
    <row r="101">
      <c r="H101" s="21"/>
      <c r="L101" s="21"/>
    </row>
    <row r="102">
      <c r="H102" s="21"/>
      <c r="L102" s="21"/>
    </row>
    <row r="103">
      <c r="H103" s="21"/>
      <c r="L103" s="21"/>
    </row>
    <row r="104">
      <c r="H104" s="21"/>
      <c r="L104" s="21"/>
    </row>
    <row r="105">
      <c r="H105" s="21"/>
      <c r="L105" s="21"/>
    </row>
    <row r="106">
      <c r="H106" s="21"/>
      <c r="L106" s="21"/>
    </row>
    <row r="107">
      <c r="H107" s="21"/>
      <c r="L107" s="21"/>
    </row>
    <row r="108">
      <c r="H108" s="21"/>
      <c r="L108" s="21"/>
    </row>
    <row r="109">
      <c r="H109" s="21"/>
      <c r="L109" s="21"/>
    </row>
    <row r="110">
      <c r="H110" s="21"/>
      <c r="L110" s="21"/>
    </row>
    <row r="111">
      <c r="H111" s="21"/>
      <c r="L111" s="21"/>
    </row>
    <row r="112">
      <c r="H112" s="21"/>
      <c r="L112" s="21"/>
    </row>
    <row r="113">
      <c r="H113" s="21"/>
      <c r="L113" s="21"/>
    </row>
    <row r="114">
      <c r="H114" s="21"/>
      <c r="L114" s="21"/>
    </row>
    <row r="115">
      <c r="H115" s="21"/>
      <c r="L115" s="21"/>
    </row>
    <row r="116">
      <c r="H116" s="21"/>
      <c r="L116" s="21"/>
    </row>
    <row r="117">
      <c r="H117" s="21"/>
      <c r="L117" s="21"/>
    </row>
    <row r="118">
      <c r="H118" s="21"/>
      <c r="L118" s="21"/>
    </row>
    <row r="119">
      <c r="H119" s="21"/>
      <c r="L119" s="21"/>
    </row>
    <row r="120">
      <c r="H120" s="21"/>
      <c r="L120" s="21"/>
    </row>
    <row r="121">
      <c r="H121" s="21"/>
      <c r="L121" s="21"/>
    </row>
    <row r="122">
      <c r="H122" s="21"/>
      <c r="L122" s="21"/>
    </row>
    <row r="123">
      <c r="H123" s="21"/>
      <c r="L123" s="21"/>
    </row>
    <row r="124">
      <c r="H124" s="21"/>
      <c r="L124" s="21"/>
    </row>
    <row r="125">
      <c r="H125" s="21"/>
      <c r="L125" s="21"/>
    </row>
    <row r="126">
      <c r="H126" s="21"/>
      <c r="L126" s="21"/>
    </row>
    <row r="127">
      <c r="H127" s="21"/>
      <c r="L127" s="21"/>
    </row>
    <row r="128">
      <c r="H128" s="21"/>
      <c r="L128" s="21"/>
    </row>
    <row r="129">
      <c r="H129" s="21"/>
      <c r="L129" s="21"/>
    </row>
    <row r="130">
      <c r="H130" s="21"/>
      <c r="L130" s="21"/>
    </row>
    <row r="131">
      <c r="H131" s="21"/>
      <c r="L131" s="21"/>
    </row>
    <row r="132">
      <c r="H132" s="21"/>
      <c r="L132" s="21"/>
    </row>
    <row r="133">
      <c r="H133" s="21"/>
      <c r="L133" s="21"/>
    </row>
    <row r="134">
      <c r="H134" s="21"/>
      <c r="L134" s="21"/>
    </row>
    <row r="135">
      <c r="H135" s="21"/>
      <c r="L135" s="21"/>
    </row>
    <row r="136">
      <c r="H136" s="21"/>
      <c r="L136" s="21"/>
    </row>
    <row r="137">
      <c r="H137" s="21"/>
      <c r="L137" s="21"/>
    </row>
    <row r="138">
      <c r="H138" s="21"/>
      <c r="L138" s="21"/>
    </row>
    <row r="139">
      <c r="H139" s="21"/>
      <c r="L139" s="21"/>
    </row>
    <row r="140">
      <c r="H140" s="21"/>
      <c r="L140" s="21"/>
    </row>
    <row r="141">
      <c r="H141" s="21"/>
      <c r="L141" s="21"/>
    </row>
    <row r="142">
      <c r="H142" s="21"/>
      <c r="L142" s="21"/>
    </row>
    <row r="143">
      <c r="H143" s="21"/>
      <c r="L143" s="21"/>
    </row>
    <row r="144">
      <c r="H144" s="21"/>
      <c r="L144" s="21"/>
    </row>
    <row r="145">
      <c r="H145" s="21"/>
      <c r="L145" s="21"/>
    </row>
    <row r="146">
      <c r="H146" s="21"/>
      <c r="L146" s="21"/>
    </row>
    <row r="147">
      <c r="H147" s="21"/>
      <c r="L147" s="21"/>
    </row>
    <row r="148">
      <c r="H148" s="21"/>
      <c r="L148" s="21"/>
    </row>
    <row r="149">
      <c r="H149" s="21"/>
      <c r="L149" s="21"/>
    </row>
    <row r="150">
      <c r="H150" s="21"/>
      <c r="L150" s="21"/>
    </row>
    <row r="151">
      <c r="H151" s="21"/>
      <c r="L151" s="21"/>
    </row>
    <row r="152">
      <c r="H152" s="21"/>
      <c r="L152" s="21"/>
    </row>
    <row r="153">
      <c r="H153" s="21"/>
      <c r="L153" s="21"/>
    </row>
    <row r="154">
      <c r="H154" s="21"/>
      <c r="L154" s="21"/>
    </row>
    <row r="155">
      <c r="H155" s="21"/>
      <c r="L155" s="21"/>
    </row>
    <row r="156">
      <c r="H156" s="21"/>
      <c r="L156" s="21"/>
    </row>
    <row r="157">
      <c r="H157" s="21"/>
      <c r="L157" s="21"/>
    </row>
    <row r="158">
      <c r="H158" s="21"/>
      <c r="L158" s="21"/>
    </row>
    <row r="159">
      <c r="H159" s="21"/>
      <c r="L159" s="21"/>
    </row>
    <row r="160">
      <c r="H160" s="21"/>
      <c r="L160" s="21"/>
    </row>
    <row r="161">
      <c r="H161" s="21"/>
      <c r="L161" s="21"/>
    </row>
    <row r="162">
      <c r="H162" s="21"/>
      <c r="L162" s="21"/>
    </row>
    <row r="163">
      <c r="H163" s="21"/>
      <c r="L163" s="21"/>
    </row>
    <row r="164">
      <c r="H164" s="21"/>
      <c r="L164" s="21"/>
    </row>
    <row r="165">
      <c r="H165" s="21"/>
      <c r="L165" s="21"/>
    </row>
    <row r="166">
      <c r="H166" s="21"/>
      <c r="L166" s="21"/>
    </row>
    <row r="167">
      <c r="H167" s="21"/>
      <c r="L167" s="21"/>
    </row>
    <row r="168">
      <c r="H168" s="21"/>
      <c r="L168" s="21"/>
    </row>
    <row r="169">
      <c r="H169" s="21"/>
      <c r="L169" s="21"/>
    </row>
    <row r="170">
      <c r="H170" s="21"/>
      <c r="L170" s="21"/>
    </row>
    <row r="171">
      <c r="H171" s="21"/>
      <c r="L171" s="21"/>
    </row>
    <row r="172">
      <c r="H172" s="21"/>
      <c r="L172" s="21"/>
    </row>
    <row r="173">
      <c r="H173" s="21"/>
      <c r="L173" s="21"/>
    </row>
    <row r="174">
      <c r="H174" s="21"/>
      <c r="L174" s="21"/>
    </row>
    <row r="175">
      <c r="H175" s="21"/>
      <c r="L175" s="21"/>
    </row>
    <row r="176">
      <c r="H176" s="21"/>
      <c r="L176" s="21"/>
    </row>
    <row r="177">
      <c r="H177" s="21"/>
      <c r="L177" s="21"/>
    </row>
    <row r="178">
      <c r="H178" s="21"/>
      <c r="L178" s="21"/>
    </row>
    <row r="179">
      <c r="H179" s="21"/>
      <c r="L179" s="21"/>
    </row>
    <row r="180">
      <c r="H180" s="21"/>
      <c r="L180" s="21"/>
    </row>
    <row r="181">
      <c r="H181" s="21"/>
      <c r="L181" s="21"/>
    </row>
    <row r="182">
      <c r="H182" s="21"/>
      <c r="L182" s="21"/>
    </row>
    <row r="183">
      <c r="H183" s="21"/>
      <c r="L183" s="21"/>
    </row>
    <row r="184">
      <c r="H184" s="21"/>
      <c r="L184" s="21"/>
    </row>
    <row r="185">
      <c r="H185" s="21"/>
      <c r="L185" s="21"/>
    </row>
    <row r="186">
      <c r="H186" s="21"/>
      <c r="L186" s="21"/>
    </row>
    <row r="187">
      <c r="H187" s="21"/>
      <c r="L187" s="21"/>
    </row>
    <row r="188">
      <c r="H188" s="21"/>
      <c r="L188" s="21"/>
    </row>
    <row r="189">
      <c r="H189" s="21"/>
      <c r="L189" s="21"/>
    </row>
    <row r="190">
      <c r="H190" s="21"/>
      <c r="L190" s="21"/>
    </row>
    <row r="191">
      <c r="H191" s="21"/>
      <c r="L191" s="21"/>
    </row>
    <row r="192">
      <c r="H192" s="21"/>
      <c r="L192" s="21"/>
    </row>
    <row r="193">
      <c r="H193" s="21"/>
      <c r="L193" s="21"/>
    </row>
    <row r="194">
      <c r="H194" s="21"/>
      <c r="L194" s="21"/>
    </row>
    <row r="195">
      <c r="H195" s="21"/>
      <c r="L195" s="21"/>
    </row>
    <row r="196">
      <c r="H196" s="21"/>
      <c r="L196" s="21"/>
    </row>
    <row r="197">
      <c r="H197" s="21"/>
      <c r="L197" s="21"/>
    </row>
    <row r="198">
      <c r="H198" s="21"/>
      <c r="L198" s="21"/>
    </row>
    <row r="199">
      <c r="H199" s="21"/>
      <c r="L199" s="21"/>
    </row>
    <row r="200">
      <c r="H200" s="21"/>
      <c r="L200" s="21"/>
    </row>
    <row r="201">
      <c r="H201" s="21"/>
      <c r="L201" s="21"/>
    </row>
    <row r="202">
      <c r="H202" s="21"/>
      <c r="L202" s="21"/>
    </row>
    <row r="203">
      <c r="H203" s="21"/>
      <c r="L203" s="21"/>
    </row>
    <row r="204">
      <c r="H204" s="21"/>
      <c r="L204" s="21"/>
    </row>
    <row r="205">
      <c r="H205" s="21"/>
      <c r="L205" s="21"/>
    </row>
    <row r="206">
      <c r="H206" s="21"/>
      <c r="L206" s="21"/>
    </row>
    <row r="207">
      <c r="H207" s="21"/>
      <c r="L207" s="21"/>
    </row>
    <row r="208">
      <c r="H208" s="21"/>
      <c r="L208" s="21"/>
    </row>
    <row r="209">
      <c r="H209" s="21"/>
      <c r="L209" s="21"/>
    </row>
    <row r="210">
      <c r="H210" s="21"/>
      <c r="L210" s="21"/>
    </row>
    <row r="211">
      <c r="H211" s="21"/>
      <c r="L211" s="21"/>
    </row>
    <row r="212">
      <c r="H212" s="21"/>
      <c r="L212" s="21"/>
    </row>
    <row r="213">
      <c r="H213" s="21"/>
      <c r="L213" s="21"/>
    </row>
    <row r="214">
      <c r="H214" s="21"/>
      <c r="L214" s="21"/>
    </row>
    <row r="215">
      <c r="H215" s="21"/>
      <c r="L215" s="21"/>
    </row>
    <row r="216">
      <c r="H216" s="21"/>
      <c r="L216" s="21"/>
    </row>
    <row r="217">
      <c r="H217" s="21"/>
      <c r="L217" s="21"/>
    </row>
    <row r="218">
      <c r="H218" s="21"/>
      <c r="L218" s="21"/>
    </row>
    <row r="219">
      <c r="H219" s="21"/>
      <c r="L219" s="21"/>
    </row>
    <row r="220">
      <c r="H220" s="21"/>
      <c r="L220" s="21"/>
    </row>
    <row r="221">
      <c r="H221" s="21"/>
      <c r="L221" s="21"/>
    </row>
    <row r="222">
      <c r="H222" s="21"/>
      <c r="L222" s="21"/>
    </row>
    <row r="223">
      <c r="H223" s="21"/>
      <c r="L223" s="21"/>
    </row>
    <row r="224">
      <c r="H224" s="21"/>
      <c r="L224" s="21"/>
    </row>
    <row r="225">
      <c r="H225" s="21"/>
      <c r="L225" s="21"/>
    </row>
    <row r="226">
      <c r="H226" s="21"/>
      <c r="L226" s="21"/>
    </row>
    <row r="227">
      <c r="H227" s="21"/>
      <c r="L227" s="21"/>
    </row>
    <row r="228">
      <c r="H228" s="21"/>
      <c r="L228" s="21"/>
    </row>
    <row r="229">
      <c r="H229" s="21"/>
      <c r="L229" s="21"/>
    </row>
    <row r="230">
      <c r="H230" s="21"/>
      <c r="L230" s="21"/>
    </row>
    <row r="231">
      <c r="H231" s="21"/>
      <c r="L231" s="21"/>
    </row>
    <row r="232">
      <c r="H232" s="21"/>
      <c r="L232" s="21"/>
    </row>
    <row r="233">
      <c r="H233" s="21"/>
      <c r="L233" s="21"/>
    </row>
    <row r="234">
      <c r="H234" s="21"/>
      <c r="L234" s="21"/>
    </row>
    <row r="235">
      <c r="H235" s="21"/>
      <c r="L235" s="21"/>
    </row>
    <row r="236">
      <c r="H236" s="21"/>
      <c r="L236" s="21"/>
    </row>
    <row r="237">
      <c r="H237" s="21"/>
      <c r="L237" s="21"/>
    </row>
    <row r="238">
      <c r="H238" s="21"/>
      <c r="L238" s="21"/>
    </row>
    <row r="239">
      <c r="H239" s="21"/>
      <c r="L239" s="21"/>
    </row>
    <row r="240">
      <c r="H240" s="21"/>
      <c r="L240" s="21"/>
    </row>
    <row r="241">
      <c r="H241" s="21"/>
      <c r="L241" s="21"/>
    </row>
    <row r="242">
      <c r="H242" s="21"/>
      <c r="L242" s="21"/>
    </row>
    <row r="243">
      <c r="H243" s="21"/>
      <c r="L243" s="21"/>
    </row>
    <row r="244">
      <c r="H244" s="21"/>
      <c r="L244" s="21"/>
    </row>
    <row r="245">
      <c r="H245" s="21"/>
      <c r="L245" s="21"/>
    </row>
    <row r="246">
      <c r="H246" s="21"/>
      <c r="L246" s="21"/>
    </row>
    <row r="247">
      <c r="H247" s="21"/>
      <c r="L247" s="21"/>
    </row>
    <row r="248">
      <c r="H248" s="21"/>
      <c r="L248" s="21"/>
    </row>
    <row r="249">
      <c r="H249" s="21"/>
      <c r="L249" s="21"/>
    </row>
    <row r="250">
      <c r="H250" s="21"/>
      <c r="L250" s="21"/>
    </row>
    <row r="251">
      <c r="H251" s="21"/>
      <c r="L251" s="21"/>
    </row>
    <row r="252">
      <c r="H252" s="21"/>
      <c r="L252" s="21"/>
    </row>
    <row r="253">
      <c r="H253" s="21"/>
      <c r="L253" s="21"/>
    </row>
    <row r="254">
      <c r="H254" s="21"/>
      <c r="L254" s="21"/>
    </row>
    <row r="255">
      <c r="H255" s="21"/>
      <c r="L255" s="21"/>
    </row>
    <row r="256">
      <c r="H256" s="21"/>
      <c r="L256" s="21"/>
    </row>
    <row r="257">
      <c r="H257" s="21"/>
      <c r="L257" s="21"/>
    </row>
    <row r="258">
      <c r="H258" s="21"/>
      <c r="L258" s="21"/>
    </row>
    <row r="259">
      <c r="H259" s="21"/>
      <c r="L259" s="21"/>
    </row>
    <row r="260">
      <c r="H260" s="21"/>
      <c r="L260" s="21"/>
    </row>
    <row r="261">
      <c r="H261" s="21"/>
      <c r="L261" s="21"/>
    </row>
    <row r="262">
      <c r="H262" s="21"/>
      <c r="L262" s="21"/>
    </row>
    <row r="263">
      <c r="H263" s="21"/>
      <c r="L263" s="21"/>
    </row>
    <row r="264">
      <c r="H264" s="21"/>
      <c r="L264" s="21"/>
    </row>
    <row r="265">
      <c r="H265" s="21"/>
      <c r="L265" s="21"/>
    </row>
    <row r="266">
      <c r="H266" s="21"/>
      <c r="L266" s="21"/>
    </row>
    <row r="267">
      <c r="H267" s="21"/>
      <c r="L267" s="21"/>
    </row>
    <row r="268">
      <c r="H268" s="21"/>
      <c r="L268" s="21"/>
    </row>
    <row r="269">
      <c r="H269" s="21"/>
      <c r="L269" s="21"/>
    </row>
    <row r="270">
      <c r="H270" s="21"/>
      <c r="L270" s="21"/>
    </row>
    <row r="271">
      <c r="H271" s="21"/>
      <c r="L271" s="21"/>
    </row>
    <row r="272">
      <c r="H272" s="21"/>
      <c r="L272" s="21"/>
    </row>
    <row r="273">
      <c r="H273" s="21"/>
      <c r="L273" s="21"/>
    </row>
    <row r="274">
      <c r="H274" s="21"/>
      <c r="L274" s="21"/>
    </row>
    <row r="275">
      <c r="H275" s="21"/>
      <c r="L275" s="21"/>
    </row>
    <row r="276">
      <c r="H276" s="21"/>
      <c r="L276" s="21"/>
    </row>
    <row r="277">
      <c r="H277" s="21"/>
      <c r="L277" s="21"/>
    </row>
    <row r="278">
      <c r="H278" s="21"/>
      <c r="L278" s="21"/>
    </row>
    <row r="279">
      <c r="H279" s="21"/>
      <c r="L279" s="21"/>
    </row>
    <row r="280">
      <c r="H280" s="21"/>
      <c r="L280" s="21"/>
    </row>
    <row r="281">
      <c r="H281" s="21"/>
      <c r="L281" s="21"/>
    </row>
    <row r="282">
      <c r="H282" s="21"/>
      <c r="L282" s="21"/>
    </row>
    <row r="283">
      <c r="H283" s="21"/>
      <c r="L283" s="21"/>
    </row>
    <row r="284">
      <c r="H284" s="21"/>
      <c r="L284" s="21"/>
    </row>
    <row r="285">
      <c r="H285" s="21"/>
      <c r="L285" s="21"/>
    </row>
    <row r="286">
      <c r="H286" s="21"/>
      <c r="L286" s="21"/>
    </row>
    <row r="287">
      <c r="H287" s="21"/>
      <c r="L287" s="21"/>
    </row>
    <row r="288">
      <c r="H288" s="21"/>
      <c r="L288" s="21"/>
    </row>
    <row r="289">
      <c r="H289" s="21"/>
      <c r="L289" s="21"/>
    </row>
    <row r="290">
      <c r="H290" s="21"/>
      <c r="L290" s="21"/>
    </row>
    <row r="291">
      <c r="H291" s="21"/>
      <c r="L291" s="21"/>
    </row>
    <row r="292">
      <c r="H292" s="21"/>
      <c r="L292" s="21"/>
    </row>
    <row r="293">
      <c r="H293" s="21"/>
      <c r="L293" s="21"/>
    </row>
    <row r="294">
      <c r="H294" s="21"/>
      <c r="L294" s="21"/>
    </row>
    <row r="295">
      <c r="H295" s="21"/>
      <c r="L295" s="21"/>
    </row>
    <row r="296">
      <c r="H296" s="21"/>
      <c r="L296" s="21"/>
    </row>
    <row r="297">
      <c r="H297" s="21"/>
      <c r="L297" s="21"/>
    </row>
    <row r="298">
      <c r="H298" s="21"/>
      <c r="L298" s="21"/>
    </row>
    <row r="299">
      <c r="H299" s="21"/>
      <c r="L299" s="21"/>
    </row>
    <row r="300">
      <c r="H300" s="21"/>
      <c r="L300" s="21"/>
    </row>
    <row r="301">
      <c r="H301" s="21"/>
      <c r="L301" s="21"/>
    </row>
    <row r="302">
      <c r="H302" s="21"/>
      <c r="L302" s="21"/>
    </row>
    <row r="303">
      <c r="H303" s="21"/>
      <c r="L303" s="21"/>
    </row>
    <row r="304">
      <c r="H304" s="21"/>
      <c r="L304" s="21"/>
    </row>
    <row r="305">
      <c r="H305" s="21"/>
      <c r="L305" s="21"/>
    </row>
    <row r="306">
      <c r="H306" s="21"/>
      <c r="L306" s="21"/>
    </row>
    <row r="307">
      <c r="H307" s="21"/>
      <c r="L307" s="21"/>
    </row>
    <row r="308">
      <c r="H308" s="21"/>
      <c r="L308" s="21"/>
    </row>
    <row r="309">
      <c r="H309" s="21"/>
      <c r="L309" s="21"/>
    </row>
    <row r="310">
      <c r="H310" s="21"/>
      <c r="L310" s="21"/>
    </row>
    <row r="311">
      <c r="H311" s="21"/>
      <c r="L311" s="21"/>
    </row>
    <row r="312">
      <c r="H312" s="21"/>
      <c r="L312" s="21"/>
    </row>
    <row r="313">
      <c r="H313" s="21"/>
      <c r="L313" s="21"/>
    </row>
    <row r="314">
      <c r="H314" s="21"/>
      <c r="L314" s="21"/>
    </row>
    <row r="315">
      <c r="H315" s="21"/>
      <c r="L315" s="21"/>
    </row>
    <row r="316">
      <c r="H316" s="21"/>
      <c r="L316" s="21"/>
    </row>
    <row r="317">
      <c r="H317" s="21"/>
      <c r="L317" s="21"/>
    </row>
    <row r="318">
      <c r="H318" s="21"/>
      <c r="L318" s="21"/>
    </row>
    <row r="319">
      <c r="H319" s="21"/>
      <c r="L319" s="21"/>
    </row>
    <row r="320">
      <c r="H320" s="21"/>
      <c r="L320" s="21"/>
    </row>
    <row r="321">
      <c r="H321" s="21"/>
      <c r="L321" s="21"/>
    </row>
    <row r="322">
      <c r="H322" s="21"/>
      <c r="L322" s="21"/>
    </row>
    <row r="323">
      <c r="H323" s="21"/>
      <c r="L323" s="21"/>
    </row>
    <row r="324">
      <c r="H324" s="21"/>
      <c r="L324" s="21"/>
    </row>
    <row r="325">
      <c r="H325" s="21"/>
      <c r="L325" s="21"/>
    </row>
    <row r="326">
      <c r="H326" s="21"/>
      <c r="L326" s="21"/>
    </row>
    <row r="327">
      <c r="H327" s="21"/>
      <c r="L327" s="21"/>
    </row>
    <row r="328">
      <c r="H328" s="21"/>
      <c r="L328" s="21"/>
    </row>
    <row r="329">
      <c r="H329" s="21"/>
      <c r="L329" s="21"/>
    </row>
    <row r="330">
      <c r="H330" s="21"/>
      <c r="L330" s="21"/>
    </row>
    <row r="331">
      <c r="H331" s="21"/>
      <c r="L331" s="21"/>
    </row>
    <row r="332">
      <c r="H332" s="21"/>
      <c r="L332" s="21"/>
    </row>
    <row r="333">
      <c r="H333" s="21"/>
      <c r="L333" s="21"/>
    </row>
    <row r="334">
      <c r="H334" s="21"/>
      <c r="L334" s="21"/>
    </row>
    <row r="335">
      <c r="H335" s="21"/>
      <c r="L335" s="21"/>
    </row>
    <row r="336">
      <c r="H336" s="21"/>
      <c r="L336" s="21"/>
    </row>
    <row r="337">
      <c r="H337" s="21"/>
      <c r="L337" s="21"/>
    </row>
    <row r="338">
      <c r="H338" s="21"/>
      <c r="L338" s="21"/>
    </row>
    <row r="339">
      <c r="H339" s="21"/>
      <c r="L339" s="21"/>
    </row>
    <row r="340">
      <c r="H340" s="21"/>
      <c r="L340" s="21"/>
    </row>
    <row r="341">
      <c r="H341" s="21"/>
      <c r="L341" s="21"/>
    </row>
    <row r="342">
      <c r="H342" s="21"/>
      <c r="L342" s="21"/>
    </row>
    <row r="343">
      <c r="H343" s="21"/>
      <c r="L343" s="21"/>
    </row>
    <row r="344">
      <c r="H344" s="21"/>
      <c r="L344" s="21"/>
    </row>
    <row r="345">
      <c r="H345" s="21"/>
      <c r="L345" s="21"/>
    </row>
    <row r="346">
      <c r="H346" s="21"/>
      <c r="L346" s="21"/>
    </row>
    <row r="347">
      <c r="H347" s="21"/>
      <c r="L347" s="21"/>
    </row>
    <row r="348">
      <c r="H348" s="21"/>
      <c r="L348" s="21"/>
    </row>
    <row r="349">
      <c r="H349" s="21"/>
      <c r="L349" s="21"/>
    </row>
    <row r="350">
      <c r="H350" s="21"/>
      <c r="L350" s="21"/>
    </row>
    <row r="351">
      <c r="H351" s="21"/>
      <c r="L351" s="21"/>
    </row>
    <row r="352">
      <c r="H352" s="21"/>
      <c r="L352" s="21"/>
    </row>
    <row r="353">
      <c r="H353" s="21"/>
      <c r="L353" s="21"/>
    </row>
    <row r="354">
      <c r="H354" s="21"/>
      <c r="L354" s="21"/>
    </row>
    <row r="355">
      <c r="H355" s="21"/>
      <c r="L355" s="21"/>
    </row>
    <row r="356">
      <c r="H356" s="21"/>
      <c r="L356" s="21"/>
    </row>
    <row r="357">
      <c r="H357" s="21"/>
      <c r="L357" s="21"/>
    </row>
    <row r="358">
      <c r="H358" s="21"/>
      <c r="L358" s="21"/>
    </row>
    <row r="359">
      <c r="H359" s="21"/>
      <c r="L359" s="21"/>
    </row>
    <row r="360">
      <c r="H360" s="21"/>
      <c r="L360" s="21"/>
    </row>
    <row r="361">
      <c r="H361" s="21"/>
      <c r="L361" s="21"/>
    </row>
    <row r="362">
      <c r="H362" s="21"/>
      <c r="L362" s="21"/>
    </row>
    <row r="363">
      <c r="H363" s="21"/>
      <c r="L363" s="21"/>
    </row>
    <row r="364">
      <c r="H364" s="21"/>
      <c r="L364" s="21"/>
    </row>
    <row r="365">
      <c r="H365" s="21"/>
      <c r="L365" s="21"/>
    </row>
    <row r="366">
      <c r="H366" s="21"/>
      <c r="L366" s="21"/>
    </row>
    <row r="367">
      <c r="H367" s="21"/>
      <c r="L367" s="21"/>
    </row>
    <row r="368">
      <c r="H368" s="21"/>
      <c r="L368" s="21"/>
    </row>
    <row r="369">
      <c r="H369" s="21"/>
      <c r="L369" s="21"/>
    </row>
    <row r="370">
      <c r="H370" s="21"/>
      <c r="L370" s="21"/>
    </row>
    <row r="371">
      <c r="H371" s="21"/>
      <c r="L371" s="21"/>
    </row>
    <row r="372">
      <c r="H372" s="21"/>
      <c r="L372" s="21"/>
    </row>
    <row r="373">
      <c r="H373" s="21"/>
      <c r="L373" s="21"/>
    </row>
    <row r="374">
      <c r="H374" s="21"/>
      <c r="L374" s="21"/>
    </row>
    <row r="375">
      <c r="H375" s="21"/>
      <c r="L375" s="21"/>
    </row>
    <row r="376">
      <c r="H376" s="21"/>
      <c r="L376" s="21"/>
    </row>
    <row r="377">
      <c r="H377" s="21"/>
      <c r="L377" s="21"/>
    </row>
    <row r="378">
      <c r="H378" s="21"/>
      <c r="L378" s="21"/>
    </row>
    <row r="379">
      <c r="H379" s="21"/>
      <c r="L379" s="21"/>
    </row>
    <row r="380">
      <c r="H380" s="21"/>
      <c r="L380" s="21"/>
    </row>
    <row r="381">
      <c r="H381" s="21"/>
      <c r="L381" s="21"/>
    </row>
    <row r="382">
      <c r="H382" s="21"/>
      <c r="L382" s="21"/>
    </row>
    <row r="383">
      <c r="H383" s="21"/>
      <c r="L383" s="21"/>
    </row>
    <row r="384">
      <c r="H384" s="21"/>
      <c r="L384" s="21"/>
    </row>
    <row r="385">
      <c r="H385" s="21"/>
      <c r="L385" s="21"/>
    </row>
    <row r="386">
      <c r="H386" s="21"/>
      <c r="L386" s="21"/>
    </row>
    <row r="387">
      <c r="H387" s="21"/>
      <c r="L387" s="21"/>
    </row>
    <row r="388">
      <c r="H388" s="21"/>
      <c r="L388" s="21"/>
    </row>
    <row r="389">
      <c r="H389" s="21"/>
      <c r="L389" s="21"/>
    </row>
    <row r="390">
      <c r="H390" s="21"/>
      <c r="L390" s="21"/>
    </row>
    <row r="391">
      <c r="H391" s="21"/>
      <c r="L391" s="21"/>
    </row>
    <row r="392">
      <c r="H392" s="21"/>
      <c r="L392" s="21"/>
    </row>
    <row r="393">
      <c r="H393" s="21"/>
      <c r="L393" s="21"/>
    </row>
    <row r="394">
      <c r="H394" s="21"/>
      <c r="L394" s="21"/>
    </row>
    <row r="395">
      <c r="H395" s="21"/>
      <c r="L395" s="21"/>
    </row>
    <row r="396">
      <c r="H396" s="21"/>
      <c r="L396" s="21"/>
    </row>
    <row r="397">
      <c r="H397" s="21"/>
      <c r="L397" s="21"/>
    </row>
    <row r="398">
      <c r="H398" s="21"/>
      <c r="L398" s="21"/>
    </row>
    <row r="399">
      <c r="H399" s="21"/>
      <c r="L399" s="21"/>
    </row>
    <row r="400">
      <c r="H400" s="21"/>
      <c r="L400" s="21"/>
    </row>
    <row r="401">
      <c r="H401" s="21"/>
      <c r="L401" s="21"/>
    </row>
    <row r="402">
      <c r="H402" s="21"/>
      <c r="L402" s="21"/>
    </row>
    <row r="403">
      <c r="H403" s="21"/>
      <c r="L403" s="21"/>
    </row>
    <row r="404">
      <c r="H404" s="21"/>
      <c r="L404" s="21"/>
    </row>
    <row r="405">
      <c r="H405" s="21"/>
      <c r="L405" s="21"/>
    </row>
    <row r="406">
      <c r="H406" s="21"/>
      <c r="L406" s="21"/>
    </row>
    <row r="407">
      <c r="H407" s="21"/>
      <c r="L407" s="21"/>
    </row>
    <row r="408">
      <c r="H408" s="21"/>
      <c r="L408" s="21"/>
    </row>
    <row r="409">
      <c r="H409" s="21"/>
      <c r="L409" s="21"/>
    </row>
    <row r="410">
      <c r="H410" s="21"/>
      <c r="L410" s="21"/>
    </row>
    <row r="411">
      <c r="H411" s="21"/>
      <c r="L411" s="21"/>
    </row>
    <row r="412">
      <c r="H412" s="21"/>
      <c r="L412" s="21"/>
    </row>
    <row r="413">
      <c r="H413" s="21"/>
      <c r="L413" s="21"/>
    </row>
    <row r="414">
      <c r="H414" s="21"/>
      <c r="L414" s="21"/>
    </row>
    <row r="415">
      <c r="H415" s="21"/>
      <c r="L415" s="21"/>
    </row>
    <row r="416">
      <c r="H416" s="21"/>
      <c r="L416" s="21"/>
    </row>
    <row r="417">
      <c r="H417" s="21"/>
      <c r="L417" s="21"/>
    </row>
    <row r="418">
      <c r="H418" s="21"/>
      <c r="L418" s="21"/>
    </row>
    <row r="419">
      <c r="H419" s="21"/>
      <c r="L419" s="21"/>
    </row>
    <row r="420">
      <c r="H420" s="21"/>
      <c r="L420" s="21"/>
    </row>
    <row r="421">
      <c r="H421" s="21"/>
      <c r="L421" s="21"/>
    </row>
    <row r="422">
      <c r="H422" s="21"/>
      <c r="L422" s="21"/>
    </row>
    <row r="423">
      <c r="H423" s="21"/>
      <c r="L423" s="21"/>
    </row>
    <row r="424">
      <c r="H424" s="21"/>
      <c r="L424" s="21"/>
    </row>
    <row r="425">
      <c r="H425" s="21"/>
      <c r="L425" s="21"/>
    </row>
    <row r="426">
      <c r="H426" s="21"/>
      <c r="L426" s="21"/>
    </row>
    <row r="427">
      <c r="H427" s="21"/>
      <c r="L427" s="21"/>
    </row>
    <row r="428">
      <c r="H428" s="21"/>
      <c r="L428" s="21"/>
    </row>
    <row r="429">
      <c r="H429" s="21"/>
      <c r="L429" s="21"/>
    </row>
    <row r="430">
      <c r="H430" s="21"/>
      <c r="L430" s="21"/>
    </row>
    <row r="431">
      <c r="H431" s="21"/>
      <c r="L431" s="21"/>
    </row>
    <row r="432">
      <c r="H432" s="21"/>
      <c r="L432" s="21"/>
    </row>
    <row r="433">
      <c r="H433" s="21"/>
      <c r="L433" s="21"/>
    </row>
    <row r="434">
      <c r="H434" s="21"/>
      <c r="L434" s="21"/>
    </row>
    <row r="435">
      <c r="H435" s="21"/>
      <c r="L435" s="21"/>
    </row>
    <row r="436">
      <c r="H436" s="21"/>
      <c r="L436" s="21"/>
    </row>
    <row r="437">
      <c r="H437" s="21"/>
      <c r="L437" s="21"/>
    </row>
    <row r="438">
      <c r="H438" s="21"/>
      <c r="L438" s="21"/>
    </row>
    <row r="439">
      <c r="H439" s="21"/>
      <c r="L439" s="21"/>
    </row>
    <row r="440">
      <c r="H440" s="21"/>
      <c r="L440" s="21"/>
    </row>
    <row r="441">
      <c r="H441" s="21"/>
      <c r="L441" s="21"/>
    </row>
    <row r="442">
      <c r="H442" s="21"/>
      <c r="L442" s="21"/>
    </row>
    <row r="443">
      <c r="H443" s="21"/>
      <c r="L443" s="21"/>
    </row>
    <row r="444">
      <c r="H444" s="21"/>
      <c r="L444" s="21"/>
    </row>
    <row r="445">
      <c r="H445" s="21"/>
      <c r="L445" s="21"/>
    </row>
    <row r="446">
      <c r="H446" s="21"/>
      <c r="L446" s="21"/>
    </row>
    <row r="447">
      <c r="H447" s="21"/>
      <c r="L447" s="21"/>
    </row>
    <row r="448">
      <c r="H448" s="21"/>
      <c r="L448" s="21"/>
    </row>
    <row r="449">
      <c r="H449" s="21"/>
      <c r="L449" s="21"/>
    </row>
    <row r="450">
      <c r="H450" s="21"/>
      <c r="L450" s="21"/>
    </row>
    <row r="451">
      <c r="H451" s="21"/>
      <c r="L451" s="21"/>
    </row>
    <row r="452">
      <c r="H452" s="21"/>
      <c r="L452" s="21"/>
    </row>
    <row r="453">
      <c r="H453" s="21"/>
      <c r="L453" s="21"/>
    </row>
    <row r="454">
      <c r="H454" s="21"/>
      <c r="L454" s="21"/>
    </row>
    <row r="455">
      <c r="H455" s="21"/>
      <c r="L455" s="21"/>
    </row>
    <row r="456">
      <c r="H456" s="21"/>
      <c r="L456" s="21"/>
    </row>
    <row r="457">
      <c r="H457" s="21"/>
      <c r="L457" s="21"/>
    </row>
    <row r="458">
      <c r="H458" s="21"/>
      <c r="L458" s="21"/>
    </row>
    <row r="459">
      <c r="H459" s="21"/>
      <c r="L459" s="21"/>
    </row>
    <row r="460">
      <c r="H460" s="21"/>
      <c r="L460" s="21"/>
    </row>
    <row r="461">
      <c r="H461" s="21"/>
      <c r="L461" s="21"/>
    </row>
    <row r="462">
      <c r="H462" s="21"/>
      <c r="L462" s="21"/>
    </row>
    <row r="463">
      <c r="H463" s="21"/>
      <c r="L463" s="21"/>
    </row>
    <row r="464">
      <c r="H464" s="21"/>
      <c r="L464" s="21"/>
    </row>
    <row r="465">
      <c r="H465" s="21"/>
      <c r="L465" s="21"/>
    </row>
    <row r="466">
      <c r="H466" s="21"/>
      <c r="L466" s="21"/>
    </row>
    <row r="467">
      <c r="H467" s="21"/>
      <c r="L467" s="21"/>
    </row>
    <row r="468">
      <c r="H468" s="21"/>
      <c r="L468" s="21"/>
    </row>
    <row r="469">
      <c r="H469" s="21"/>
      <c r="L469" s="21"/>
    </row>
    <row r="470">
      <c r="H470" s="21"/>
      <c r="L470" s="21"/>
    </row>
    <row r="471">
      <c r="H471" s="21"/>
      <c r="L471" s="21"/>
    </row>
    <row r="472">
      <c r="H472" s="21"/>
      <c r="L472" s="21"/>
    </row>
    <row r="473">
      <c r="H473" s="21"/>
      <c r="L473" s="21"/>
    </row>
    <row r="474">
      <c r="H474" s="21"/>
      <c r="L474" s="21"/>
    </row>
    <row r="475">
      <c r="H475" s="21"/>
      <c r="L475" s="21"/>
    </row>
    <row r="476">
      <c r="H476" s="21"/>
      <c r="L476" s="21"/>
    </row>
    <row r="477">
      <c r="H477" s="21"/>
      <c r="L477" s="21"/>
    </row>
    <row r="478">
      <c r="H478" s="21"/>
      <c r="L478" s="21"/>
    </row>
    <row r="479">
      <c r="H479" s="21"/>
      <c r="L479" s="21"/>
    </row>
    <row r="480">
      <c r="H480" s="21"/>
      <c r="L480" s="21"/>
    </row>
    <row r="481">
      <c r="H481" s="21"/>
      <c r="L481" s="21"/>
    </row>
    <row r="482">
      <c r="H482" s="21"/>
      <c r="L482" s="21"/>
    </row>
    <row r="483">
      <c r="H483" s="21"/>
      <c r="L483" s="21"/>
    </row>
    <row r="484">
      <c r="H484" s="21"/>
      <c r="L484" s="21"/>
    </row>
    <row r="485">
      <c r="H485" s="21"/>
      <c r="L485" s="21"/>
    </row>
    <row r="486">
      <c r="H486" s="21"/>
      <c r="L486" s="21"/>
    </row>
    <row r="487">
      <c r="H487" s="21"/>
      <c r="L487" s="21"/>
    </row>
    <row r="488">
      <c r="H488" s="21"/>
      <c r="L488" s="21"/>
    </row>
    <row r="489">
      <c r="H489" s="21"/>
      <c r="L489" s="21"/>
    </row>
    <row r="490">
      <c r="H490" s="21"/>
      <c r="L490" s="21"/>
    </row>
    <row r="491">
      <c r="H491" s="21"/>
      <c r="L491" s="21"/>
    </row>
    <row r="492">
      <c r="H492" s="21"/>
      <c r="L492" s="21"/>
    </row>
    <row r="493">
      <c r="H493" s="21"/>
      <c r="L493" s="21"/>
    </row>
    <row r="494">
      <c r="H494" s="21"/>
      <c r="L494" s="21"/>
    </row>
    <row r="495">
      <c r="H495" s="21"/>
      <c r="L495" s="21"/>
    </row>
    <row r="496">
      <c r="H496" s="21"/>
      <c r="L496" s="21"/>
    </row>
    <row r="497">
      <c r="H497" s="21"/>
      <c r="L497" s="21"/>
    </row>
    <row r="498">
      <c r="H498" s="21"/>
      <c r="L498" s="21"/>
    </row>
    <row r="499">
      <c r="H499" s="21"/>
      <c r="L499" s="21"/>
    </row>
    <row r="500">
      <c r="H500" s="21"/>
      <c r="L500" s="21"/>
    </row>
    <row r="501">
      <c r="H501" s="21"/>
      <c r="L501" s="21"/>
    </row>
    <row r="502">
      <c r="H502" s="21"/>
      <c r="L502" s="21"/>
    </row>
    <row r="503">
      <c r="H503" s="21"/>
      <c r="L503" s="21"/>
    </row>
    <row r="504">
      <c r="H504" s="21"/>
      <c r="L504" s="21"/>
    </row>
    <row r="505">
      <c r="H505" s="21"/>
      <c r="L505" s="21"/>
    </row>
    <row r="506">
      <c r="H506" s="21"/>
      <c r="L506" s="21"/>
    </row>
    <row r="507">
      <c r="H507" s="21"/>
      <c r="L507" s="21"/>
    </row>
    <row r="508">
      <c r="H508" s="21"/>
      <c r="L508" s="21"/>
    </row>
    <row r="509">
      <c r="H509" s="21"/>
      <c r="L509" s="21"/>
    </row>
    <row r="510">
      <c r="H510" s="21"/>
      <c r="L510" s="21"/>
    </row>
    <row r="511">
      <c r="H511" s="21"/>
      <c r="L511" s="21"/>
    </row>
    <row r="512">
      <c r="H512" s="21"/>
      <c r="L512" s="21"/>
    </row>
    <row r="513">
      <c r="H513" s="21"/>
      <c r="L513" s="21"/>
    </row>
    <row r="514">
      <c r="H514" s="21"/>
      <c r="L514" s="21"/>
    </row>
    <row r="515">
      <c r="H515" s="21"/>
      <c r="L515" s="21"/>
    </row>
    <row r="516">
      <c r="H516" s="21"/>
      <c r="L516" s="21"/>
    </row>
    <row r="517">
      <c r="H517" s="21"/>
      <c r="L517" s="21"/>
    </row>
    <row r="518">
      <c r="H518" s="21"/>
      <c r="L518" s="21"/>
    </row>
    <row r="519">
      <c r="H519" s="21"/>
      <c r="L519" s="21"/>
    </row>
    <row r="520">
      <c r="H520" s="21"/>
      <c r="L520" s="21"/>
    </row>
    <row r="521">
      <c r="H521" s="21"/>
      <c r="L521" s="21"/>
    </row>
    <row r="522">
      <c r="H522" s="21"/>
      <c r="L522" s="21"/>
    </row>
    <row r="523">
      <c r="H523" s="21"/>
      <c r="L523" s="21"/>
    </row>
    <row r="524">
      <c r="H524" s="21"/>
      <c r="L524" s="21"/>
    </row>
    <row r="525">
      <c r="H525" s="21"/>
      <c r="L525" s="21"/>
    </row>
    <row r="526">
      <c r="H526" s="21"/>
      <c r="L526" s="21"/>
    </row>
    <row r="527">
      <c r="H527" s="21"/>
      <c r="L527" s="21"/>
    </row>
    <row r="528">
      <c r="H528" s="21"/>
      <c r="L528" s="21"/>
    </row>
    <row r="529">
      <c r="H529" s="21"/>
      <c r="L529" s="21"/>
    </row>
    <row r="530">
      <c r="H530" s="21"/>
      <c r="L530" s="21"/>
    </row>
    <row r="531">
      <c r="H531" s="21"/>
      <c r="L531" s="21"/>
    </row>
    <row r="532">
      <c r="H532" s="21"/>
      <c r="L532" s="21"/>
    </row>
    <row r="533">
      <c r="H533" s="21"/>
      <c r="L533" s="21"/>
    </row>
    <row r="534">
      <c r="H534" s="21"/>
      <c r="L534" s="21"/>
    </row>
    <row r="535">
      <c r="H535" s="21"/>
      <c r="L535" s="21"/>
    </row>
    <row r="536">
      <c r="H536" s="21"/>
      <c r="L536" s="21"/>
    </row>
    <row r="537">
      <c r="H537" s="21"/>
      <c r="L537" s="21"/>
    </row>
    <row r="538">
      <c r="H538" s="21"/>
      <c r="L538" s="21"/>
    </row>
    <row r="539">
      <c r="H539" s="21"/>
      <c r="L539" s="21"/>
    </row>
    <row r="540">
      <c r="H540" s="21"/>
      <c r="L540" s="21"/>
    </row>
    <row r="541">
      <c r="H541" s="21"/>
      <c r="L541" s="21"/>
    </row>
    <row r="542">
      <c r="H542" s="21"/>
      <c r="L542" s="21"/>
    </row>
    <row r="543">
      <c r="H543" s="21"/>
      <c r="L543" s="21"/>
    </row>
    <row r="544">
      <c r="H544" s="21"/>
      <c r="L544" s="21"/>
    </row>
    <row r="545">
      <c r="H545" s="21"/>
      <c r="L545" s="21"/>
    </row>
    <row r="546">
      <c r="H546" s="21"/>
      <c r="L546" s="21"/>
    </row>
    <row r="547">
      <c r="H547" s="21"/>
      <c r="L547" s="21"/>
    </row>
    <row r="548">
      <c r="H548" s="21"/>
      <c r="L548" s="21"/>
    </row>
    <row r="549">
      <c r="H549" s="21"/>
      <c r="L549" s="21"/>
    </row>
    <row r="550">
      <c r="H550" s="21"/>
      <c r="L550" s="21"/>
    </row>
    <row r="551">
      <c r="H551" s="21"/>
      <c r="L551" s="21"/>
    </row>
    <row r="552">
      <c r="H552" s="21"/>
      <c r="L552" s="21"/>
    </row>
    <row r="553">
      <c r="H553" s="21"/>
      <c r="L553" s="21"/>
    </row>
    <row r="554">
      <c r="H554" s="21"/>
      <c r="L554" s="21"/>
    </row>
    <row r="555">
      <c r="H555" s="21"/>
      <c r="L555" s="21"/>
    </row>
    <row r="556">
      <c r="H556" s="21"/>
      <c r="L556" s="21"/>
    </row>
    <row r="557">
      <c r="H557" s="21"/>
      <c r="L557" s="21"/>
    </row>
    <row r="558">
      <c r="H558" s="21"/>
      <c r="L558" s="21"/>
    </row>
    <row r="559">
      <c r="H559" s="21"/>
      <c r="L559" s="21"/>
    </row>
    <row r="560">
      <c r="H560" s="21"/>
      <c r="L560" s="21"/>
    </row>
    <row r="561">
      <c r="H561" s="21"/>
      <c r="L561" s="21"/>
    </row>
    <row r="562">
      <c r="H562" s="21"/>
      <c r="L562" s="21"/>
    </row>
    <row r="563">
      <c r="H563" s="21"/>
      <c r="L563" s="21"/>
    </row>
    <row r="564">
      <c r="H564" s="21"/>
      <c r="L564" s="21"/>
    </row>
    <row r="565">
      <c r="H565" s="21"/>
      <c r="L565" s="21"/>
    </row>
    <row r="566">
      <c r="H566" s="21"/>
      <c r="L566" s="21"/>
    </row>
    <row r="567">
      <c r="H567" s="21"/>
      <c r="L567" s="21"/>
    </row>
    <row r="568">
      <c r="H568" s="21"/>
      <c r="L568" s="21"/>
    </row>
    <row r="569">
      <c r="H569" s="21"/>
      <c r="L569" s="21"/>
    </row>
    <row r="570">
      <c r="H570" s="21"/>
      <c r="L570" s="21"/>
    </row>
    <row r="571">
      <c r="H571" s="21"/>
      <c r="L571" s="21"/>
    </row>
    <row r="572">
      <c r="H572" s="21"/>
      <c r="L572" s="21"/>
    </row>
    <row r="573">
      <c r="H573" s="21"/>
      <c r="L573" s="21"/>
    </row>
    <row r="574">
      <c r="H574" s="21"/>
      <c r="L574" s="21"/>
    </row>
    <row r="575">
      <c r="H575" s="21"/>
      <c r="L575" s="21"/>
    </row>
    <row r="576">
      <c r="H576" s="21"/>
      <c r="L576" s="21"/>
    </row>
    <row r="577">
      <c r="H577" s="21"/>
      <c r="L577" s="21"/>
    </row>
    <row r="578">
      <c r="H578" s="21"/>
      <c r="L578" s="21"/>
    </row>
    <row r="579">
      <c r="H579" s="21"/>
      <c r="L579" s="21"/>
    </row>
    <row r="580">
      <c r="H580" s="21"/>
      <c r="L580" s="21"/>
    </row>
    <row r="581">
      <c r="H581" s="21"/>
      <c r="L581" s="21"/>
    </row>
    <row r="582">
      <c r="H582" s="21"/>
      <c r="L582" s="21"/>
    </row>
    <row r="583">
      <c r="H583" s="21"/>
      <c r="L583" s="21"/>
    </row>
    <row r="584">
      <c r="H584" s="21"/>
      <c r="L584" s="21"/>
    </row>
    <row r="585">
      <c r="H585" s="21"/>
      <c r="L585" s="21"/>
    </row>
    <row r="586">
      <c r="H586" s="21"/>
      <c r="L586" s="21"/>
    </row>
    <row r="587">
      <c r="H587" s="21"/>
      <c r="L587" s="21"/>
    </row>
    <row r="588">
      <c r="H588" s="21"/>
      <c r="L588" s="21"/>
    </row>
    <row r="589">
      <c r="H589" s="21"/>
      <c r="L589" s="21"/>
    </row>
    <row r="590">
      <c r="H590" s="21"/>
      <c r="L590" s="21"/>
    </row>
    <row r="591">
      <c r="H591" s="21"/>
      <c r="L591" s="21"/>
    </row>
    <row r="592">
      <c r="H592" s="21"/>
      <c r="L592" s="21"/>
    </row>
    <row r="593">
      <c r="H593" s="21"/>
      <c r="L593" s="21"/>
    </row>
    <row r="594">
      <c r="H594" s="21"/>
      <c r="L594" s="21"/>
    </row>
    <row r="595">
      <c r="H595" s="21"/>
      <c r="L595" s="21"/>
    </row>
    <row r="596">
      <c r="H596" s="21"/>
      <c r="L596" s="21"/>
    </row>
    <row r="597">
      <c r="H597" s="21"/>
      <c r="L597" s="21"/>
    </row>
    <row r="598">
      <c r="H598" s="21"/>
      <c r="L598" s="21"/>
    </row>
    <row r="599">
      <c r="H599" s="21"/>
      <c r="L599" s="21"/>
    </row>
    <row r="600">
      <c r="H600" s="21"/>
      <c r="L600" s="21"/>
    </row>
    <row r="601">
      <c r="H601" s="21"/>
      <c r="L601" s="21"/>
    </row>
    <row r="602">
      <c r="H602" s="21"/>
      <c r="L602" s="21"/>
    </row>
    <row r="603">
      <c r="H603" s="21"/>
      <c r="L603" s="21"/>
    </row>
    <row r="604">
      <c r="H604" s="21"/>
      <c r="L604" s="21"/>
    </row>
    <row r="605">
      <c r="H605" s="21"/>
      <c r="L605" s="21"/>
    </row>
    <row r="606">
      <c r="H606" s="21"/>
      <c r="L606" s="21"/>
    </row>
    <row r="607">
      <c r="H607" s="21"/>
      <c r="L607" s="21"/>
    </row>
    <row r="608">
      <c r="H608" s="21"/>
      <c r="L608" s="21"/>
    </row>
    <row r="609">
      <c r="H609" s="21"/>
      <c r="L609" s="21"/>
    </row>
    <row r="610">
      <c r="H610" s="21"/>
      <c r="L610" s="21"/>
    </row>
    <row r="611">
      <c r="H611" s="21"/>
      <c r="L611" s="21"/>
    </row>
    <row r="612">
      <c r="H612" s="21"/>
      <c r="L612" s="21"/>
    </row>
    <row r="613">
      <c r="H613" s="21"/>
      <c r="L613" s="21"/>
    </row>
    <row r="614">
      <c r="H614" s="21"/>
      <c r="L614" s="21"/>
    </row>
    <row r="615">
      <c r="H615" s="21"/>
      <c r="L615" s="21"/>
    </row>
    <row r="616">
      <c r="H616" s="21"/>
      <c r="L616" s="21"/>
    </row>
    <row r="617">
      <c r="H617" s="21"/>
      <c r="L617" s="21"/>
    </row>
    <row r="618">
      <c r="H618" s="21"/>
      <c r="L618" s="21"/>
    </row>
    <row r="619">
      <c r="H619" s="21"/>
      <c r="L619" s="21"/>
    </row>
    <row r="620">
      <c r="H620" s="21"/>
      <c r="L620" s="21"/>
    </row>
    <row r="621">
      <c r="H621" s="21"/>
      <c r="L621" s="21"/>
    </row>
    <row r="622">
      <c r="H622" s="21"/>
      <c r="L622" s="21"/>
    </row>
    <row r="623">
      <c r="H623" s="21"/>
      <c r="L623" s="21"/>
    </row>
    <row r="624">
      <c r="H624" s="21"/>
      <c r="L624" s="21"/>
    </row>
    <row r="625">
      <c r="H625" s="21"/>
      <c r="L625" s="21"/>
    </row>
    <row r="626">
      <c r="H626" s="21"/>
      <c r="L626" s="21"/>
    </row>
    <row r="627">
      <c r="H627" s="21"/>
      <c r="L627" s="21"/>
    </row>
    <row r="628">
      <c r="H628" s="21"/>
      <c r="L628" s="21"/>
    </row>
    <row r="629">
      <c r="H629" s="21"/>
      <c r="L629" s="21"/>
    </row>
    <row r="630">
      <c r="H630" s="21"/>
      <c r="L630" s="21"/>
    </row>
    <row r="631">
      <c r="H631" s="21"/>
      <c r="L631" s="21"/>
    </row>
    <row r="632">
      <c r="H632" s="21"/>
      <c r="L632" s="21"/>
    </row>
    <row r="633">
      <c r="H633" s="21"/>
      <c r="L633" s="21"/>
    </row>
    <row r="634">
      <c r="H634" s="21"/>
      <c r="L634" s="21"/>
    </row>
    <row r="635">
      <c r="H635" s="21"/>
      <c r="L635" s="21"/>
    </row>
    <row r="636">
      <c r="H636" s="21"/>
      <c r="L636" s="21"/>
    </row>
    <row r="637">
      <c r="H637" s="21"/>
      <c r="L637" s="21"/>
    </row>
    <row r="638">
      <c r="H638" s="21"/>
      <c r="L638" s="21"/>
    </row>
    <row r="639">
      <c r="H639" s="21"/>
      <c r="L639" s="21"/>
    </row>
    <row r="640">
      <c r="H640" s="21"/>
      <c r="L640" s="21"/>
    </row>
    <row r="641">
      <c r="H641" s="21"/>
      <c r="L641" s="21"/>
    </row>
    <row r="642">
      <c r="H642" s="21"/>
      <c r="L642" s="21"/>
    </row>
    <row r="643">
      <c r="H643" s="21"/>
      <c r="L643" s="21"/>
    </row>
    <row r="644">
      <c r="H644" s="21"/>
      <c r="L644" s="21"/>
    </row>
    <row r="645">
      <c r="H645" s="21"/>
      <c r="L645" s="21"/>
    </row>
    <row r="646">
      <c r="H646" s="21"/>
      <c r="L646" s="21"/>
    </row>
    <row r="647">
      <c r="H647" s="21"/>
      <c r="L647" s="21"/>
    </row>
    <row r="648">
      <c r="H648" s="21"/>
      <c r="L648" s="21"/>
    </row>
    <row r="649">
      <c r="H649" s="21"/>
      <c r="L649" s="21"/>
    </row>
    <row r="650">
      <c r="H650" s="21"/>
      <c r="L650" s="21"/>
    </row>
    <row r="651">
      <c r="H651" s="21"/>
      <c r="L651" s="21"/>
    </row>
    <row r="652">
      <c r="H652" s="21"/>
      <c r="L652" s="21"/>
    </row>
    <row r="653">
      <c r="H653" s="21"/>
      <c r="L653" s="21"/>
    </row>
    <row r="654">
      <c r="H654" s="21"/>
      <c r="L654" s="21"/>
    </row>
    <row r="655">
      <c r="H655" s="21"/>
      <c r="L655" s="21"/>
    </row>
    <row r="656">
      <c r="H656" s="21"/>
      <c r="L656" s="21"/>
    </row>
    <row r="657">
      <c r="H657" s="21"/>
      <c r="L657" s="21"/>
    </row>
    <row r="658">
      <c r="H658" s="21"/>
      <c r="L658" s="21"/>
    </row>
    <row r="659">
      <c r="H659" s="21"/>
      <c r="L659" s="21"/>
    </row>
    <row r="660">
      <c r="H660" s="21"/>
      <c r="L660" s="21"/>
    </row>
    <row r="661">
      <c r="H661" s="21"/>
      <c r="L661" s="21"/>
    </row>
    <row r="662">
      <c r="H662" s="21"/>
      <c r="L662" s="21"/>
    </row>
    <row r="663">
      <c r="H663" s="21"/>
      <c r="L663" s="21"/>
    </row>
    <row r="664">
      <c r="H664" s="21"/>
      <c r="L664" s="21"/>
    </row>
    <row r="665">
      <c r="H665" s="21"/>
      <c r="L665" s="21"/>
    </row>
    <row r="666">
      <c r="H666" s="21"/>
      <c r="L666" s="21"/>
    </row>
    <row r="667">
      <c r="H667" s="21"/>
      <c r="L667" s="21"/>
    </row>
    <row r="668">
      <c r="H668" s="21"/>
      <c r="L668" s="21"/>
    </row>
    <row r="669">
      <c r="H669" s="21"/>
      <c r="L669" s="21"/>
    </row>
    <row r="670">
      <c r="H670" s="21"/>
      <c r="L670" s="21"/>
    </row>
    <row r="671">
      <c r="H671" s="21"/>
      <c r="L671" s="21"/>
    </row>
    <row r="672">
      <c r="H672" s="21"/>
      <c r="L672" s="21"/>
    </row>
    <row r="673">
      <c r="H673" s="21"/>
      <c r="L673" s="21"/>
    </row>
    <row r="674">
      <c r="H674" s="21"/>
      <c r="L674" s="21"/>
    </row>
    <row r="675">
      <c r="H675" s="21"/>
      <c r="L675" s="21"/>
    </row>
    <row r="676">
      <c r="H676" s="21"/>
      <c r="L676" s="21"/>
    </row>
    <row r="677">
      <c r="H677" s="21"/>
      <c r="L677" s="21"/>
    </row>
    <row r="678">
      <c r="H678" s="21"/>
      <c r="L678" s="21"/>
    </row>
    <row r="679">
      <c r="H679" s="21"/>
      <c r="L679" s="21"/>
    </row>
    <row r="680">
      <c r="H680" s="21"/>
      <c r="L680" s="21"/>
    </row>
    <row r="681">
      <c r="H681" s="21"/>
      <c r="L681" s="21"/>
    </row>
    <row r="682">
      <c r="H682" s="21"/>
      <c r="L682" s="21"/>
    </row>
    <row r="683">
      <c r="H683" s="21"/>
      <c r="L683" s="21"/>
    </row>
    <row r="684">
      <c r="H684" s="21"/>
      <c r="L684" s="21"/>
    </row>
    <row r="685">
      <c r="H685" s="21"/>
      <c r="L685" s="21"/>
    </row>
    <row r="686">
      <c r="H686" s="21"/>
      <c r="L686" s="21"/>
    </row>
    <row r="687">
      <c r="H687" s="21"/>
      <c r="L687" s="21"/>
    </row>
    <row r="688">
      <c r="H688" s="21"/>
      <c r="L688" s="21"/>
    </row>
    <row r="689">
      <c r="H689" s="21"/>
      <c r="L689" s="21"/>
    </row>
    <row r="690">
      <c r="H690" s="21"/>
      <c r="L690" s="21"/>
    </row>
    <row r="691">
      <c r="H691" s="21"/>
      <c r="L691" s="21"/>
    </row>
    <row r="692">
      <c r="H692" s="21"/>
      <c r="L692" s="21"/>
    </row>
    <row r="693">
      <c r="H693" s="21"/>
      <c r="L693" s="21"/>
    </row>
    <row r="694">
      <c r="H694" s="21"/>
      <c r="L694" s="21"/>
    </row>
    <row r="695">
      <c r="H695" s="21"/>
      <c r="L695" s="21"/>
    </row>
    <row r="696">
      <c r="H696" s="21"/>
      <c r="L696" s="21"/>
    </row>
    <row r="697">
      <c r="H697" s="21"/>
      <c r="L697" s="21"/>
    </row>
    <row r="698">
      <c r="H698" s="21"/>
      <c r="L698" s="21"/>
    </row>
    <row r="699">
      <c r="H699" s="21"/>
      <c r="L699" s="21"/>
    </row>
    <row r="700">
      <c r="H700" s="21"/>
      <c r="L700" s="21"/>
    </row>
    <row r="701">
      <c r="H701" s="21"/>
      <c r="L701" s="21"/>
    </row>
    <row r="702">
      <c r="H702" s="21"/>
      <c r="L702" s="21"/>
    </row>
    <row r="703">
      <c r="H703" s="21"/>
      <c r="L703" s="21"/>
    </row>
    <row r="704">
      <c r="H704" s="21"/>
      <c r="L704" s="21"/>
    </row>
    <row r="705">
      <c r="H705" s="21"/>
      <c r="L705" s="21"/>
    </row>
    <row r="706">
      <c r="H706" s="21"/>
      <c r="L706" s="21"/>
    </row>
    <row r="707">
      <c r="H707" s="21"/>
      <c r="L707" s="21"/>
    </row>
    <row r="708">
      <c r="H708" s="21"/>
      <c r="L708" s="21"/>
    </row>
    <row r="709">
      <c r="H709" s="21"/>
      <c r="L709" s="21"/>
    </row>
    <row r="710">
      <c r="H710" s="21"/>
      <c r="L710" s="21"/>
    </row>
    <row r="711">
      <c r="H711" s="21"/>
      <c r="L711" s="21"/>
    </row>
    <row r="712">
      <c r="H712" s="21"/>
      <c r="L712" s="21"/>
    </row>
    <row r="713">
      <c r="H713" s="21"/>
      <c r="L713" s="21"/>
    </row>
    <row r="714">
      <c r="H714" s="21"/>
      <c r="L714" s="21"/>
    </row>
    <row r="715">
      <c r="H715" s="21"/>
      <c r="L715" s="21"/>
    </row>
    <row r="716">
      <c r="H716" s="21"/>
      <c r="L716" s="21"/>
    </row>
    <row r="717">
      <c r="H717" s="21"/>
      <c r="L717" s="21"/>
    </row>
    <row r="718">
      <c r="H718" s="21"/>
      <c r="L718" s="21"/>
    </row>
    <row r="719">
      <c r="H719" s="21"/>
      <c r="L719" s="21"/>
    </row>
    <row r="720">
      <c r="H720" s="21"/>
      <c r="L720" s="21"/>
    </row>
    <row r="721">
      <c r="H721" s="21"/>
      <c r="L721" s="21"/>
    </row>
    <row r="722">
      <c r="H722" s="21"/>
      <c r="L722" s="21"/>
    </row>
    <row r="723">
      <c r="H723" s="21"/>
      <c r="L723" s="21"/>
    </row>
    <row r="724">
      <c r="H724" s="21"/>
      <c r="L724" s="21"/>
    </row>
    <row r="725">
      <c r="H725" s="21"/>
      <c r="L725" s="21"/>
    </row>
    <row r="726">
      <c r="H726" s="21"/>
      <c r="L726" s="21"/>
    </row>
    <row r="727">
      <c r="H727" s="21"/>
      <c r="L727" s="21"/>
    </row>
    <row r="728">
      <c r="H728" s="21"/>
      <c r="L728" s="21"/>
    </row>
    <row r="729">
      <c r="H729" s="21"/>
      <c r="L729" s="21"/>
    </row>
    <row r="730">
      <c r="H730" s="21"/>
      <c r="L730" s="21"/>
    </row>
    <row r="731">
      <c r="H731" s="21"/>
      <c r="L731" s="21"/>
    </row>
    <row r="732">
      <c r="H732" s="21"/>
      <c r="L732" s="21"/>
    </row>
    <row r="733">
      <c r="H733" s="21"/>
      <c r="L733" s="21"/>
    </row>
    <row r="734">
      <c r="H734" s="21"/>
      <c r="L734" s="21"/>
    </row>
    <row r="735">
      <c r="H735" s="21"/>
      <c r="L735" s="21"/>
    </row>
    <row r="736">
      <c r="H736" s="21"/>
      <c r="L736" s="21"/>
    </row>
    <row r="737">
      <c r="H737" s="21"/>
      <c r="L737" s="21"/>
    </row>
    <row r="738">
      <c r="H738" s="21"/>
      <c r="L738" s="21"/>
    </row>
    <row r="739">
      <c r="H739" s="21"/>
      <c r="L739" s="21"/>
    </row>
    <row r="740">
      <c r="H740" s="21"/>
      <c r="L740" s="21"/>
    </row>
    <row r="741">
      <c r="H741" s="21"/>
      <c r="L741" s="21"/>
    </row>
    <row r="742">
      <c r="H742" s="21"/>
      <c r="L742" s="21"/>
    </row>
    <row r="743">
      <c r="H743" s="21"/>
      <c r="L743" s="21"/>
    </row>
    <row r="744">
      <c r="H744" s="21"/>
      <c r="L744" s="21"/>
    </row>
    <row r="745">
      <c r="H745" s="21"/>
      <c r="L745" s="21"/>
    </row>
    <row r="746">
      <c r="H746" s="21"/>
      <c r="L746" s="21"/>
    </row>
    <row r="747">
      <c r="H747" s="21"/>
      <c r="L747" s="21"/>
    </row>
    <row r="748">
      <c r="H748" s="21"/>
      <c r="L748" s="21"/>
    </row>
    <row r="749">
      <c r="H749" s="21"/>
      <c r="L749" s="21"/>
    </row>
    <row r="750">
      <c r="H750" s="21"/>
      <c r="L750" s="21"/>
    </row>
    <row r="751">
      <c r="H751" s="21"/>
      <c r="L751" s="21"/>
    </row>
    <row r="752">
      <c r="H752" s="21"/>
      <c r="L752" s="21"/>
    </row>
    <row r="753">
      <c r="H753" s="21"/>
      <c r="L753" s="21"/>
    </row>
    <row r="754">
      <c r="H754" s="21"/>
      <c r="L754" s="21"/>
    </row>
    <row r="755">
      <c r="H755" s="21"/>
      <c r="L755" s="21"/>
    </row>
    <row r="756">
      <c r="H756" s="21"/>
      <c r="L756" s="21"/>
    </row>
    <row r="757">
      <c r="H757" s="21"/>
      <c r="L757" s="21"/>
    </row>
    <row r="758">
      <c r="H758" s="21"/>
      <c r="L758" s="21"/>
    </row>
    <row r="759">
      <c r="H759" s="21"/>
      <c r="L759" s="21"/>
    </row>
    <row r="760">
      <c r="H760" s="21"/>
      <c r="L760" s="21"/>
    </row>
    <row r="761">
      <c r="H761" s="21"/>
      <c r="L761" s="21"/>
    </row>
    <row r="762">
      <c r="H762" s="21"/>
      <c r="L762" s="21"/>
    </row>
    <row r="763">
      <c r="H763" s="21"/>
      <c r="L763" s="21"/>
    </row>
    <row r="764">
      <c r="H764" s="21"/>
      <c r="L764" s="21"/>
    </row>
    <row r="765">
      <c r="H765" s="21"/>
      <c r="L765" s="21"/>
    </row>
    <row r="766">
      <c r="H766" s="21"/>
      <c r="L766" s="21"/>
    </row>
    <row r="767">
      <c r="H767" s="21"/>
      <c r="L767" s="21"/>
    </row>
    <row r="768">
      <c r="H768" s="21"/>
      <c r="L768" s="21"/>
    </row>
    <row r="769">
      <c r="H769" s="21"/>
      <c r="L769" s="21"/>
    </row>
    <row r="770">
      <c r="H770" s="21"/>
      <c r="L770" s="21"/>
    </row>
    <row r="771">
      <c r="H771" s="21"/>
      <c r="L771" s="21"/>
    </row>
    <row r="772">
      <c r="H772" s="21"/>
      <c r="L772" s="21"/>
    </row>
    <row r="773">
      <c r="H773" s="21"/>
      <c r="L773" s="21"/>
    </row>
    <row r="774">
      <c r="H774" s="21"/>
      <c r="L774" s="21"/>
    </row>
    <row r="775">
      <c r="H775" s="21"/>
      <c r="L775" s="21"/>
    </row>
    <row r="776">
      <c r="H776" s="21"/>
      <c r="L776" s="21"/>
    </row>
    <row r="777">
      <c r="H777" s="21"/>
      <c r="L777" s="21"/>
    </row>
    <row r="778">
      <c r="H778" s="21"/>
      <c r="L778" s="21"/>
    </row>
    <row r="779">
      <c r="H779" s="21"/>
      <c r="L779" s="21"/>
    </row>
    <row r="780">
      <c r="H780" s="21"/>
      <c r="L780" s="21"/>
    </row>
    <row r="781">
      <c r="H781" s="21"/>
      <c r="L781" s="21"/>
    </row>
    <row r="782">
      <c r="H782" s="21"/>
      <c r="L782" s="21"/>
    </row>
    <row r="783">
      <c r="H783" s="21"/>
      <c r="L783" s="21"/>
    </row>
    <row r="784">
      <c r="H784" s="21"/>
      <c r="L784" s="21"/>
    </row>
    <row r="785">
      <c r="H785" s="21"/>
      <c r="L785" s="21"/>
    </row>
    <row r="786">
      <c r="H786" s="21"/>
      <c r="L786" s="21"/>
    </row>
    <row r="787">
      <c r="H787" s="21"/>
      <c r="L787" s="21"/>
    </row>
    <row r="788">
      <c r="H788" s="21"/>
      <c r="L788" s="21"/>
    </row>
    <row r="789">
      <c r="H789" s="21"/>
      <c r="L789" s="21"/>
    </row>
    <row r="790">
      <c r="H790" s="21"/>
      <c r="L790" s="21"/>
    </row>
    <row r="791">
      <c r="H791" s="21"/>
      <c r="L791" s="21"/>
    </row>
    <row r="792">
      <c r="H792" s="21"/>
      <c r="L792" s="21"/>
    </row>
    <row r="793">
      <c r="H793" s="21"/>
      <c r="L793" s="21"/>
    </row>
    <row r="794">
      <c r="H794" s="21"/>
      <c r="L794" s="21"/>
    </row>
    <row r="795">
      <c r="H795" s="21"/>
      <c r="L795" s="21"/>
    </row>
    <row r="796">
      <c r="H796" s="21"/>
      <c r="L796" s="21"/>
    </row>
    <row r="797">
      <c r="H797" s="21"/>
      <c r="L797" s="21"/>
    </row>
    <row r="798">
      <c r="H798" s="21"/>
      <c r="L798" s="21"/>
    </row>
    <row r="799">
      <c r="H799" s="21"/>
      <c r="L799" s="21"/>
    </row>
    <row r="800">
      <c r="H800" s="21"/>
      <c r="L800" s="21"/>
    </row>
    <row r="801">
      <c r="H801" s="21"/>
      <c r="L801" s="21"/>
    </row>
    <row r="802">
      <c r="H802" s="21"/>
      <c r="L802" s="21"/>
    </row>
    <row r="803">
      <c r="H803" s="21"/>
      <c r="L803" s="21"/>
    </row>
    <row r="804">
      <c r="H804" s="21"/>
      <c r="L804" s="21"/>
    </row>
    <row r="805">
      <c r="H805" s="21"/>
      <c r="L805" s="21"/>
    </row>
    <row r="806">
      <c r="H806" s="21"/>
      <c r="L806" s="21"/>
    </row>
    <row r="807">
      <c r="H807" s="21"/>
      <c r="L807" s="21"/>
    </row>
    <row r="808">
      <c r="H808" s="21"/>
      <c r="L808" s="21"/>
    </row>
    <row r="809">
      <c r="H809" s="21"/>
      <c r="L809" s="21"/>
    </row>
    <row r="810">
      <c r="H810" s="21"/>
      <c r="L810" s="21"/>
    </row>
    <row r="811">
      <c r="H811" s="21"/>
      <c r="L811" s="21"/>
    </row>
    <row r="812">
      <c r="H812" s="21"/>
      <c r="L812" s="21"/>
    </row>
    <row r="813">
      <c r="H813" s="21"/>
      <c r="L813" s="21"/>
    </row>
    <row r="814">
      <c r="H814" s="21"/>
      <c r="L814" s="21"/>
    </row>
    <row r="815">
      <c r="H815" s="21"/>
      <c r="L815" s="21"/>
    </row>
    <row r="816">
      <c r="H816" s="21"/>
      <c r="L816" s="21"/>
    </row>
    <row r="817">
      <c r="H817" s="21"/>
      <c r="L817" s="21"/>
    </row>
    <row r="818">
      <c r="H818" s="21"/>
      <c r="L818" s="21"/>
    </row>
    <row r="819">
      <c r="H819" s="21"/>
      <c r="L819" s="21"/>
    </row>
    <row r="820">
      <c r="H820" s="21"/>
      <c r="L820" s="21"/>
    </row>
    <row r="821">
      <c r="H821" s="21"/>
      <c r="L821" s="21"/>
    </row>
    <row r="822">
      <c r="H822" s="21"/>
      <c r="L822" s="21"/>
    </row>
    <row r="823">
      <c r="H823" s="21"/>
      <c r="L823" s="21"/>
    </row>
    <row r="824">
      <c r="H824" s="21"/>
      <c r="L824" s="21"/>
    </row>
    <row r="825">
      <c r="H825" s="21"/>
      <c r="L825" s="21"/>
    </row>
    <row r="826">
      <c r="H826" s="21"/>
      <c r="L826" s="21"/>
    </row>
    <row r="827">
      <c r="H827" s="21"/>
      <c r="L827" s="21"/>
    </row>
    <row r="828">
      <c r="H828" s="21"/>
      <c r="L828" s="21"/>
    </row>
    <row r="829">
      <c r="H829" s="21"/>
      <c r="L829" s="21"/>
    </row>
    <row r="830">
      <c r="H830" s="21"/>
      <c r="L830" s="21"/>
    </row>
    <row r="831">
      <c r="H831" s="21"/>
      <c r="L831" s="21"/>
    </row>
    <row r="832">
      <c r="H832" s="21"/>
      <c r="L832" s="21"/>
    </row>
    <row r="833">
      <c r="H833" s="21"/>
      <c r="L833" s="21"/>
    </row>
    <row r="834">
      <c r="H834" s="21"/>
      <c r="L834" s="21"/>
    </row>
    <row r="835">
      <c r="H835" s="21"/>
      <c r="L835" s="21"/>
    </row>
    <row r="836">
      <c r="H836" s="21"/>
      <c r="L836" s="21"/>
    </row>
    <row r="837">
      <c r="H837" s="21"/>
      <c r="L837" s="21"/>
    </row>
    <row r="838">
      <c r="H838" s="21"/>
      <c r="L838" s="21"/>
    </row>
    <row r="839">
      <c r="H839" s="21"/>
      <c r="L839" s="21"/>
    </row>
    <row r="840">
      <c r="H840" s="21"/>
      <c r="L840" s="21"/>
    </row>
    <row r="841">
      <c r="H841" s="21"/>
      <c r="L841" s="21"/>
    </row>
    <row r="842">
      <c r="H842" s="21"/>
      <c r="L842" s="21"/>
    </row>
    <row r="843">
      <c r="H843" s="21"/>
      <c r="L843" s="21"/>
    </row>
    <row r="844">
      <c r="H844" s="21"/>
      <c r="L844" s="21"/>
    </row>
    <row r="845">
      <c r="H845" s="21"/>
      <c r="L845" s="21"/>
    </row>
    <row r="846">
      <c r="H846" s="21"/>
      <c r="L846" s="21"/>
    </row>
    <row r="847">
      <c r="H847" s="21"/>
      <c r="L847" s="21"/>
    </row>
    <row r="848">
      <c r="H848" s="21"/>
      <c r="L848" s="21"/>
    </row>
    <row r="849">
      <c r="H849" s="21"/>
      <c r="L849" s="21"/>
    </row>
    <row r="850">
      <c r="H850" s="21"/>
      <c r="L850" s="21"/>
    </row>
    <row r="851">
      <c r="H851" s="21"/>
      <c r="L851" s="21"/>
    </row>
    <row r="852">
      <c r="H852" s="21"/>
      <c r="L852" s="21"/>
    </row>
    <row r="853">
      <c r="H853" s="21"/>
      <c r="L853" s="21"/>
    </row>
    <row r="854">
      <c r="H854" s="21"/>
      <c r="L854" s="21"/>
    </row>
    <row r="855">
      <c r="H855" s="21"/>
      <c r="L855" s="21"/>
    </row>
    <row r="856">
      <c r="H856" s="21"/>
      <c r="L856" s="21"/>
    </row>
    <row r="857">
      <c r="H857" s="21"/>
      <c r="L857" s="21"/>
    </row>
    <row r="858">
      <c r="H858" s="21"/>
      <c r="L858" s="21"/>
    </row>
    <row r="859">
      <c r="H859" s="21"/>
      <c r="L859" s="21"/>
    </row>
    <row r="860">
      <c r="H860" s="21"/>
      <c r="L860" s="21"/>
    </row>
    <row r="861">
      <c r="H861" s="21"/>
      <c r="L861" s="21"/>
    </row>
    <row r="862">
      <c r="H862" s="21"/>
      <c r="L862" s="21"/>
    </row>
    <row r="863">
      <c r="H863" s="21"/>
      <c r="L863" s="21"/>
    </row>
    <row r="864">
      <c r="H864" s="21"/>
      <c r="L864" s="21"/>
    </row>
    <row r="865">
      <c r="H865" s="21"/>
      <c r="L865" s="21"/>
    </row>
    <row r="866">
      <c r="H866" s="21"/>
      <c r="L866" s="21"/>
    </row>
    <row r="867">
      <c r="H867" s="21"/>
      <c r="L867" s="21"/>
    </row>
    <row r="868">
      <c r="H868" s="21"/>
      <c r="L868" s="21"/>
    </row>
    <row r="869">
      <c r="H869" s="21"/>
      <c r="L869" s="21"/>
    </row>
    <row r="870">
      <c r="H870" s="21"/>
      <c r="L870" s="21"/>
    </row>
    <row r="871">
      <c r="H871" s="21"/>
      <c r="L871" s="21"/>
    </row>
    <row r="872">
      <c r="H872" s="21"/>
      <c r="L872" s="21"/>
    </row>
    <row r="873">
      <c r="H873" s="21"/>
      <c r="L873" s="21"/>
    </row>
    <row r="874">
      <c r="H874" s="21"/>
      <c r="L874" s="21"/>
    </row>
    <row r="875">
      <c r="H875" s="21"/>
      <c r="L875" s="21"/>
    </row>
    <row r="876">
      <c r="H876" s="21"/>
      <c r="L876" s="21"/>
    </row>
    <row r="877">
      <c r="H877" s="21"/>
      <c r="L877" s="21"/>
    </row>
    <row r="878">
      <c r="H878" s="21"/>
      <c r="L878" s="21"/>
    </row>
    <row r="879">
      <c r="H879" s="21"/>
      <c r="L879" s="21"/>
    </row>
    <row r="880">
      <c r="H880" s="21"/>
      <c r="L880" s="21"/>
    </row>
    <row r="881">
      <c r="H881" s="21"/>
      <c r="L881" s="21"/>
    </row>
    <row r="882">
      <c r="H882" s="21"/>
      <c r="L882" s="21"/>
    </row>
    <row r="883">
      <c r="H883" s="21"/>
      <c r="L883" s="21"/>
    </row>
    <row r="884">
      <c r="H884" s="21"/>
      <c r="L884" s="21"/>
    </row>
    <row r="885">
      <c r="H885" s="21"/>
      <c r="L885" s="21"/>
    </row>
    <row r="886">
      <c r="H886" s="21"/>
      <c r="L886" s="21"/>
    </row>
    <row r="887">
      <c r="H887" s="21"/>
      <c r="L887" s="21"/>
    </row>
    <row r="888">
      <c r="H888" s="21"/>
      <c r="L888" s="21"/>
    </row>
    <row r="889">
      <c r="H889" s="21"/>
      <c r="L889" s="21"/>
    </row>
    <row r="890">
      <c r="H890" s="21"/>
      <c r="L890" s="21"/>
    </row>
    <row r="891">
      <c r="H891" s="21"/>
      <c r="L891" s="21"/>
    </row>
    <row r="892">
      <c r="H892" s="21"/>
      <c r="L892" s="21"/>
    </row>
    <row r="893">
      <c r="H893" s="21"/>
      <c r="L893" s="21"/>
    </row>
    <row r="894">
      <c r="H894" s="21"/>
      <c r="L894" s="21"/>
    </row>
    <row r="895">
      <c r="H895" s="21"/>
      <c r="L895" s="21"/>
    </row>
    <row r="896">
      <c r="H896" s="21"/>
      <c r="L896" s="21"/>
    </row>
    <row r="897">
      <c r="H897" s="21"/>
      <c r="L897" s="21"/>
    </row>
    <row r="898">
      <c r="H898" s="21"/>
      <c r="L898" s="21"/>
    </row>
    <row r="899">
      <c r="H899" s="21"/>
      <c r="L899" s="21"/>
    </row>
    <row r="900">
      <c r="H900" s="21"/>
      <c r="L900" s="21"/>
    </row>
    <row r="901">
      <c r="H901" s="21"/>
      <c r="L901" s="21"/>
    </row>
    <row r="902">
      <c r="H902" s="21"/>
      <c r="L902" s="21"/>
    </row>
    <row r="903">
      <c r="H903" s="21"/>
      <c r="L903" s="21"/>
    </row>
    <row r="904">
      <c r="H904" s="21"/>
      <c r="L904" s="21"/>
    </row>
    <row r="905">
      <c r="H905" s="21"/>
      <c r="L905" s="21"/>
    </row>
    <row r="906">
      <c r="H906" s="21"/>
      <c r="L906" s="21"/>
    </row>
    <row r="907">
      <c r="H907" s="21"/>
      <c r="L907" s="21"/>
    </row>
    <row r="908">
      <c r="H908" s="21"/>
      <c r="L908" s="21"/>
    </row>
    <row r="909">
      <c r="H909" s="21"/>
      <c r="L909" s="21"/>
    </row>
    <row r="910">
      <c r="H910" s="21"/>
      <c r="L910" s="21"/>
    </row>
    <row r="911">
      <c r="H911" s="21"/>
      <c r="L911" s="21"/>
    </row>
    <row r="912">
      <c r="H912" s="21"/>
      <c r="L912" s="21"/>
    </row>
    <row r="913">
      <c r="H913" s="21"/>
      <c r="L913" s="21"/>
    </row>
    <row r="914">
      <c r="H914" s="21"/>
      <c r="L914" s="21"/>
    </row>
    <row r="915">
      <c r="H915" s="21"/>
      <c r="L915" s="21"/>
    </row>
    <row r="916">
      <c r="H916" s="21"/>
      <c r="L916" s="21"/>
    </row>
    <row r="917">
      <c r="H917" s="21"/>
      <c r="L917" s="21"/>
    </row>
    <row r="918">
      <c r="H918" s="21"/>
      <c r="L918" s="21"/>
    </row>
    <row r="919">
      <c r="H919" s="21"/>
      <c r="L919" s="21"/>
    </row>
    <row r="920">
      <c r="H920" s="21"/>
      <c r="L920" s="21"/>
    </row>
    <row r="921">
      <c r="H921" s="21"/>
      <c r="L921" s="21"/>
    </row>
    <row r="922">
      <c r="H922" s="21"/>
      <c r="L922" s="21"/>
    </row>
    <row r="923">
      <c r="H923" s="21"/>
      <c r="L923" s="21"/>
    </row>
    <row r="924">
      <c r="H924" s="21"/>
      <c r="L924" s="21"/>
    </row>
    <row r="925">
      <c r="H925" s="21"/>
      <c r="L925" s="21"/>
    </row>
    <row r="926">
      <c r="H926" s="21"/>
      <c r="L926" s="21"/>
    </row>
    <row r="927">
      <c r="H927" s="21"/>
      <c r="L927" s="21"/>
    </row>
    <row r="928">
      <c r="H928" s="21"/>
      <c r="L928" s="21"/>
    </row>
    <row r="929">
      <c r="H929" s="21"/>
      <c r="L929" s="21"/>
    </row>
    <row r="930">
      <c r="H930" s="21"/>
      <c r="L930" s="21"/>
    </row>
    <row r="931">
      <c r="H931" s="21"/>
      <c r="L931" s="21"/>
    </row>
    <row r="932">
      <c r="H932" s="21"/>
      <c r="L932" s="21"/>
    </row>
    <row r="933">
      <c r="H933" s="21"/>
      <c r="L933" s="21"/>
    </row>
    <row r="934">
      <c r="H934" s="21"/>
      <c r="L934" s="21"/>
    </row>
    <row r="935">
      <c r="H935" s="21"/>
      <c r="L935" s="21"/>
    </row>
    <row r="936">
      <c r="H936" s="21"/>
      <c r="L936" s="21"/>
    </row>
    <row r="937">
      <c r="H937" s="21"/>
      <c r="L937" s="21"/>
    </row>
    <row r="938">
      <c r="H938" s="21"/>
      <c r="L938" s="21"/>
    </row>
    <row r="939">
      <c r="H939" s="21"/>
      <c r="L939" s="21"/>
    </row>
    <row r="940">
      <c r="H940" s="21"/>
      <c r="L940" s="21"/>
    </row>
    <row r="941">
      <c r="H941" s="21"/>
      <c r="L941" s="21"/>
    </row>
    <row r="942">
      <c r="H942" s="21"/>
      <c r="L942" s="21"/>
    </row>
    <row r="943">
      <c r="H943" s="21"/>
      <c r="L943" s="21"/>
    </row>
    <row r="944">
      <c r="H944" s="21"/>
      <c r="L944" s="21"/>
    </row>
    <row r="945">
      <c r="H945" s="21"/>
      <c r="L945" s="21"/>
    </row>
    <row r="946">
      <c r="H946" s="21"/>
      <c r="L946" s="21"/>
    </row>
    <row r="947">
      <c r="H947" s="21"/>
      <c r="L947" s="21"/>
    </row>
    <row r="948">
      <c r="H948" s="21"/>
      <c r="L948" s="21"/>
    </row>
    <row r="949">
      <c r="H949" s="21"/>
      <c r="L949" s="21"/>
    </row>
    <row r="950">
      <c r="H950" s="21"/>
      <c r="L950" s="21"/>
    </row>
    <row r="951">
      <c r="H951" s="21"/>
      <c r="L951" s="21"/>
    </row>
    <row r="952">
      <c r="H952" s="21"/>
      <c r="L952" s="21"/>
    </row>
    <row r="953">
      <c r="H953" s="21"/>
      <c r="L953" s="21"/>
    </row>
    <row r="954">
      <c r="H954" s="21"/>
      <c r="L954" s="21"/>
    </row>
    <row r="955">
      <c r="H955" s="21"/>
      <c r="L955" s="21"/>
    </row>
    <row r="956">
      <c r="H956" s="21"/>
      <c r="L956" s="21"/>
    </row>
    <row r="957">
      <c r="H957" s="21"/>
      <c r="L957" s="21"/>
    </row>
    <row r="958">
      <c r="H958" s="21"/>
      <c r="L958" s="21"/>
    </row>
    <row r="959">
      <c r="H959" s="21"/>
      <c r="L959" s="21"/>
    </row>
    <row r="960">
      <c r="H960" s="21"/>
      <c r="L960" s="21"/>
    </row>
    <row r="961">
      <c r="H961" s="21"/>
      <c r="L961" s="21"/>
    </row>
    <row r="962">
      <c r="H962" s="21"/>
      <c r="L962" s="21"/>
    </row>
    <row r="963">
      <c r="H963" s="21"/>
      <c r="L963" s="21"/>
    </row>
    <row r="964">
      <c r="H964" s="21"/>
      <c r="L964" s="21"/>
    </row>
    <row r="965">
      <c r="H965" s="21"/>
      <c r="L965" s="21"/>
    </row>
    <row r="966">
      <c r="H966" s="21"/>
      <c r="L966" s="21"/>
    </row>
    <row r="967">
      <c r="H967" s="21"/>
      <c r="L967" s="21"/>
    </row>
    <row r="968">
      <c r="H968" s="21"/>
      <c r="L968" s="21"/>
    </row>
    <row r="969">
      <c r="H969" s="21"/>
      <c r="L969" s="21"/>
    </row>
    <row r="970">
      <c r="H970" s="21"/>
      <c r="L970" s="21"/>
    </row>
    <row r="971">
      <c r="H971" s="21"/>
      <c r="L971" s="21"/>
    </row>
    <row r="972">
      <c r="H972" s="21"/>
      <c r="L972" s="21"/>
    </row>
    <row r="973">
      <c r="H973" s="21"/>
      <c r="L973" s="21"/>
    </row>
    <row r="974">
      <c r="H974" s="21"/>
      <c r="L974" s="21"/>
    </row>
    <row r="975">
      <c r="H975" s="21"/>
      <c r="L975" s="21"/>
    </row>
    <row r="976">
      <c r="H976" s="21"/>
      <c r="L976" s="21"/>
    </row>
    <row r="977">
      <c r="H977" s="21"/>
      <c r="L977" s="21"/>
    </row>
    <row r="978">
      <c r="H978" s="21"/>
      <c r="L978" s="21"/>
    </row>
    <row r="979">
      <c r="H979" s="21"/>
      <c r="L979" s="21"/>
    </row>
    <row r="980">
      <c r="H980" s="21"/>
      <c r="L980" s="21"/>
    </row>
    <row r="981">
      <c r="H981" s="21"/>
      <c r="L981" s="21"/>
    </row>
    <row r="982">
      <c r="H982" s="21"/>
      <c r="L982" s="21"/>
    </row>
    <row r="983">
      <c r="H983" s="21"/>
      <c r="L983" s="21"/>
    </row>
    <row r="984">
      <c r="H984" s="21"/>
      <c r="L984" s="21"/>
    </row>
    <row r="985">
      <c r="H985" s="21"/>
      <c r="L985" s="21"/>
    </row>
    <row r="986">
      <c r="H986" s="21"/>
      <c r="L986" s="21"/>
    </row>
    <row r="987">
      <c r="H987" s="21"/>
      <c r="L987" s="21"/>
    </row>
    <row r="988">
      <c r="H988" s="21"/>
      <c r="L988" s="21"/>
    </row>
    <row r="989">
      <c r="H989" s="21"/>
      <c r="L989" s="21"/>
    </row>
    <row r="990">
      <c r="H990" s="21"/>
      <c r="L990" s="21"/>
    </row>
    <row r="991">
      <c r="H991" s="21"/>
      <c r="L991" s="21"/>
    </row>
    <row r="992">
      <c r="H992" s="21"/>
      <c r="L992" s="21"/>
    </row>
    <row r="993">
      <c r="H993" s="21"/>
      <c r="L993" s="21"/>
    </row>
    <row r="994">
      <c r="H994" s="21"/>
      <c r="L994" s="21"/>
    </row>
    <row r="995">
      <c r="H995" s="21"/>
      <c r="L995" s="21"/>
    </row>
    <row r="996">
      <c r="H996" s="21"/>
      <c r="L996" s="21"/>
    </row>
    <row r="997">
      <c r="H997" s="21"/>
      <c r="L997" s="21"/>
    </row>
    <row r="998">
      <c r="H998" s="21"/>
      <c r="L998" s="21"/>
    </row>
    <row r="999">
      <c r="H999" s="21"/>
      <c r="L999" s="21"/>
    </row>
    <row r="1000">
      <c r="H1000" s="21"/>
      <c r="L1000" s="21"/>
    </row>
  </sheetData>
  <autoFilter ref="$A$1:$AG$1000">
    <sortState ref="A1:AG1000">
      <sortCondition descending="1" ref="H1:H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2</v>
      </c>
      <c r="G1" s="1" t="s">
        <v>3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</row>
    <row r="2">
      <c r="A2" s="1" t="s">
        <v>152</v>
      </c>
      <c r="B2" s="1" t="s">
        <v>334</v>
      </c>
      <c r="C2" s="1">
        <v>0.0</v>
      </c>
      <c r="D2" s="1">
        <v>1.0</v>
      </c>
      <c r="E2" s="1">
        <v>1.0</v>
      </c>
      <c r="F2" s="1" t="s">
        <v>30</v>
      </c>
      <c r="G2" s="4">
        <v>42940.0</v>
      </c>
      <c r="H2" s="1" t="s">
        <v>335</v>
      </c>
      <c r="I2" s="1" t="s">
        <v>336</v>
      </c>
      <c r="J2" s="1" t="s">
        <v>337</v>
      </c>
      <c r="K2" s="4">
        <v>44420.0</v>
      </c>
      <c r="L2" s="1" t="s">
        <v>338</v>
      </c>
      <c r="M2" s="1" t="s">
        <v>339</v>
      </c>
      <c r="N2" s="1" t="s">
        <v>340</v>
      </c>
    </row>
    <row r="3">
      <c r="A3" s="1" t="s">
        <v>158</v>
      </c>
      <c r="B3" s="1" t="s">
        <v>334</v>
      </c>
      <c r="C3" s="1">
        <v>1.0</v>
      </c>
      <c r="D3" s="1">
        <v>1.0</v>
      </c>
      <c r="E3" s="1">
        <v>2.0</v>
      </c>
      <c r="F3" s="1" t="s">
        <v>30</v>
      </c>
      <c r="G3" s="4">
        <v>44420.0</v>
      </c>
      <c r="H3" s="1" t="s">
        <v>341</v>
      </c>
      <c r="I3" s="1" t="s">
        <v>342</v>
      </c>
      <c r="J3" s="1" t="s">
        <v>343</v>
      </c>
      <c r="K3" s="4">
        <v>45607.0</v>
      </c>
      <c r="L3" s="1" t="s">
        <v>344</v>
      </c>
      <c r="M3" s="1" t="s">
        <v>345</v>
      </c>
      <c r="N3" s="1" t="s">
        <v>346</v>
      </c>
    </row>
    <row r="4">
      <c r="A4" s="1" t="s">
        <v>142</v>
      </c>
      <c r="B4" s="1" t="s">
        <v>334</v>
      </c>
      <c r="C4" s="1">
        <v>1.0</v>
      </c>
      <c r="D4" s="1">
        <v>1.0</v>
      </c>
      <c r="E4" s="1">
        <v>2.0</v>
      </c>
      <c r="F4" s="1" t="s">
        <v>30</v>
      </c>
      <c r="G4" s="4">
        <v>44364.0</v>
      </c>
      <c r="H4" s="1" t="s">
        <v>347</v>
      </c>
      <c r="I4" s="1" t="s">
        <v>348</v>
      </c>
      <c r="J4" s="1" t="s">
        <v>349</v>
      </c>
      <c r="K4" s="4">
        <v>45607.0</v>
      </c>
      <c r="L4" s="1" t="s">
        <v>350</v>
      </c>
      <c r="M4" s="1" t="s">
        <v>351</v>
      </c>
      <c r="N4" s="1" t="s">
        <v>352</v>
      </c>
    </row>
    <row r="5">
      <c r="A5" s="1" t="s">
        <v>121</v>
      </c>
      <c r="B5" s="1" t="s">
        <v>334</v>
      </c>
      <c r="C5" s="1">
        <v>1.0</v>
      </c>
      <c r="D5" s="1">
        <v>1.0</v>
      </c>
      <c r="E5" s="1">
        <v>2.0</v>
      </c>
      <c r="F5" s="1" t="s">
        <v>30</v>
      </c>
      <c r="G5" s="4">
        <v>44728.0</v>
      </c>
      <c r="H5" s="1" t="s">
        <v>353</v>
      </c>
      <c r="I5" s="1" t="s">
        <v>354</v>
      </c>
      <c r="J5" s="1" t="s">
        <v>355</v>
      </c>
      <c r="K5" s="4">
        <v>45607.0</v>
      </c>
      <c r="L5" s="1" t="s">
        <v>356</v>
      </c>
      <c r="M5" s="1" t="s">
        <v>357</v>
      </c>
      <c r="N5" s="1" t="s">
        <v>358</v>
      </c>
    </row>
    <row r="6">
      <c r="A6" s="1" t="s">
        <v>147</v>
      </c>
      <c r="B6" s="1" t="s">
        <v>334</v>
      </c>
      <c r="C6" s="1">
        <v>1.0</v>
      </c>
      <c r="D6" s="1">
        <v>1.0</v>
      </c>
      <c r="E6" s="1">
        <v>1.0</v>
      </c>
      <c r="F6" s="1" t="s">
        <v>30</v>
      </c>
      <c r="G6" s="4">
        <v>42491.0</v>
      </c>
      <c r="H6" s="1" t="s">
        <v>359</v>
      </c>
      <c r="I6" s="1" t="s">
        <v>360</v>
      </c>
      <c r="J6" s="1" t="s">
        <v>361</v>
      </c>
      <c r="K6" s="4">
        <v>45607.0</v>
      </c>
      <c r="L6" s="1" t="s">
        <v>362</v>
      </c>
      <c r="M6" s="1" t="s">
        <v>363</v>
      </c>
      <c r="N6" s="22">
        <v>280874.0</v>
      </c>
    </row>
    <row r="7">
      <c r="A7" s="1" t="s">
        <v>364</v>
      </c>
      <c r="B7" s="1" t="s">
        <v>365</v>
      </c>
      <c r="C7" s="1">
        <v>1.0</v>
      </c>
      <c r="D7" s="1">
        <v>1.0</v>
      </c>
      <c r="E7" s="1">
        <v>1.0</v>
      </c>
      <c r="F7" s="1" t="s">
        <v>22</v>
      </c>
      <c r="G7" s="4">
        <v>44404.0</v>
      </c>
      <c r="H7" s="1" t="s">
        <v>366</v>
      </c>
      <c r="I7" s="1" t="s">
        <v>367</v>
      </c>
      <c r="J7" s="1" t="s">
        <v>368</v>
      </c>
      <c r="K7" s="4">
        <v>45607.0</v>
      </c>
      <c r="L7" s="1" t="s">
        <v>369</v>
      </c>
      <c r="M7" s="1" t="s">
        <v>370</v>
      </c>
      <c r="N7" s="1" t="s">
        <v>371</v>
      </c>
    </row>
    <row r="8">
      <c r="A8" s="1" t="s">
        <v>137</v>
      </c>
      <c r="B8" s="1" t="s">
        <v>334</v>
      </c>
      <c r="C8" s="1">
        <v>1.0</v>
      </c>
      <c r="D8" s="1">
        <v>1.0</v>
      </c>
      <c r="E8" s="1">
        <v>2.0</v>
      </c>
      <c r="F8" s="1" t="s">
        <v>30</v>
      </c>
      <c r="G8" s="4">
        <v>44731.0</v>
      </c>
      <c r="H8" s="1" t="s">
        <v>372</v>
      </c>
      <c r="I8" s="1" t="s">
        <v>373</v>
      </c>
      <c r="J8" s="22">
        <v>24869.0</v>
      </c>
      <c r="K8" s="4">
        <v>45607.0</v>
      </c>
      <c r="L8" s="1" t="s">
        <v>374</v>
      </c>
      <c r="M8" s="1" t="s">
        <v>375</v>
      </c>
      <c r="N8" s="1" t="s">
        <v>376</v>
      </c>
    </row>
    <row r="9">
      <c r="A9" s="1" t="s">
        <v>37</v>
      </c>
      <c r="B9" s="1" t="s">
        <v>334</v>
      </c>
      <c r="C9" s="1">
        <v>0.0</v>
      </c>
      <c r="D9" s="1">
        <v>1.0</v>
      </c>
      <c r="E9" s="1">
        <v>1.0</v>
      </c>
      <c r="F9" s="1" t="s">
        <v>30</v>
      </c>
      <c r="G9" s="4">
        <v>44342.0</v>
      </c>
      <c r="H9" s="1" t="s">
        <v>377</v>
      </c>
      <c r="I9" s="1" t="s">
        <v>378</v>
      </c>
      <c r="J9" s="1" t="s">
        <v>379</v>
      </c>
      <c r="K9" s="4">
        <v>44952.0</v>
      </c>
      <c r="L9" s="1" t="s">
        <v>380</v>
      </c>
      <c r="M9" s="1" t="s">
        <v>381</v>
      </c>
      <c r="N9" s="1" t="s">
        <v>382</v>
      </c>
    </row>
    <row r="10">
      <c r="A10" s="1" t="s">
        <v>29</v>
      </c>
      <c r="B10" s="1" t="s">
        <v>334</v>
      </c>
      <c r="C10" s="1">
        <v>1.0</v>
      </c>
      <c r="D10" s="1">
        <v>1.0</v>
      </c>
      <c r="E10" s="1">
        <v>1.0</v>
      </c>
      <c r="F10" s="1" t="s">
        <v>30</v>
      </c>
      <c r="G10" s="4">
        <v>44776.0</v>
      </c>
      <c r="H10" s="1" t="s">
        <v>383</v>
      </c>
      <c r="I10" s="1" t="s">
        <v>384</v>
      </c>
      <c r="J10" s="1" t="s">
        <v>385</v>
      </c>
      <c r="K10" s="4">
        <v>45607.0</v>
      </c>
      <c r="L10" s="1" t="s">
        <v>386</v>
      </c>
      <c r="M10" s="1" t="s">
        <v>387</v>
      </c>
      <c r="N10" s="1" t="s">
        <v>388</v>
      </c>
    </row>
    <row r="11">
      <c r="A11" s="1" t="s">
        <v>297</v>
      </c>
      <c r="B11" s="1" t="s">
        <v>389</v>
      </c>
      <c r="C11" s="1">
        <v>1.0</v>
      </c>
      <c r="D11" s="1">
        <v>1.0</v>
      </c>
      <c r="E11" s="1">
        <v>1.0</v>
      </c>
      <c r="F11" s="1" t="s">
        <v>127</v>
      </c>
      <c r="G11" s="4">
        <v>40646.0</v>
      </c>
      <c r="H11" s="1" t="s">
        <v>390</v>
      </c>
      <c r="I11" s="1" t="s">
        <v>391</v>
      </c>
      <c r="J11" s="1" t="s">
        <v>392</v>
      </c>
      <c r="K11" s="4">
        <v>45607.0</v>
      </c>
      <c r="L11" s="1" t="s">
        <v>390</v>
      </c>
      <c r="M11" s="1" t="s">
        <v>391</v>
      </c>
      <c r="N11" s="1" t="s">
        <v>392</v>
      </c>
    </row>
    <row r="12">
      <c r="A12" s="1" t="s">
        <v>251</v>
      </c>
      <c r="B12" s="1" t="s">
        <v>389</v>
      </c>
      <c r="C12" s="1">
        <v>0.0</v>
      </c>
      <c r="D12" s="1">
        <v>1.0</v>
      </c>
      <c r="E12" s="1">
        <v>1.0</v>
      </c>
      <c r="F12" s="1" t="s">
        <v>30</v>
      </c>
      <c r="G12" s="4">
        <v>39692.0</v>
      </c>
      <c r="H12" s="1" t="s">
        <v>393</v>
      </c>
      <c r="I12" s="1" t="s">
        <v>394</v>
      </c>
      <c r="J12" s="1" t="s">
        <v>395</v>
      </c>
      <c r="K12" s="4">
        <v>45529.0</v>
      </c>
      <c r="L12" s="1" t="s">
        <v>396</v>
      </c>
      <c r="M12" s="1" t="s">
        <v>397</v>
      </c>
      <c r="N12" s="1" t="s">
        <v>398</v>
      </c>
    </row>
    <row r="13">
      <c r="A13" s="1" t="s">
        <v>399</v>
      </c>
      <c r="B13" s="1" t="s">
        <v>389</v>
      </c>
      <c r="C13" s="1">
        <v>1.0</v>
      </c>
      <c r="D13" s="1">
        <v>1.0</v>
      </c>
      <c r="E13" s="1">
        <v>1.0</v>
      </c>
      <c r="F13" s="1" t="s">
        <v>30</v>
      </c>
      <c r="G13" s="4">
        <v>45160.0</v>
      </c>
      <c r="H13" s="1" t="s">
        <v>400</v>
      </c>
      <c r="I13" s="1" t="s">
        <v>401</v>
      </c>
      <c r="J13" s="1" t="s">
        <v>402</v>
      </c>
      <c r="K13" s="4">
        <v>45607.0</v>
      </c>
      <c r="L13" s="1" t="s">
        <v>403</v>
      </c>
      <c r="M13" s="1" t="s">
        <v>404</v>
      </c>
      <c r="N13" s="1" t="s">
        <v>405</v>
      </c>
    </row>
    <row r="14">
      <c r="A14" s="1" t="s">
        <v>167</v>
      </c>
      <c r="B14" s="1" t="s">
        <v>389</v>
      </c>
      <c r="C14" s="1">
        <v>0.0</v>
      </c>
      <c r="D14" s="1">
        <v>1.0</v>
      </c>
      <c r="E14" s="1">
        <v>1.0</v>
      </c>
      <c r="F14" s="1" t="s">
        <v>30</v>
      </c>
      <c r="G14" s="4">
        <v>39693.0</v>
      </c>
      <c r="H14" s="1" t="s">
        <v>406</v>
      </c>
      <c r="I14" s="1" t="s">
        <v>407</v>
      </c>
      <c r="J14" s="22" t="s">
        <v>408</v>
      </c>
      <c r="K14" s="4">
        <v>45607.0</v>
      </c>
      <c r="L14" s="1" t="s">
        <v>409</v>
      </c>
      <c r="M14" s="1" t="s">
        <v>410</v>
      </c>
      <c r="N14" s="1" t="s">
        <v>411</v>
      </c>
    </row>
    <row r="15">
      <c r="A15" s="1" t="s">
        <v>412</v>
      </c>
      <c r="B15" s="1" t="s">
        <v>389</v>
      </c>
      <c r="C15" s="1">
        <v>1.0</v>
      </c>
      <c r="D15" s="1">
        <v>1.0</v>
      </c>
      <c r="E15" s="1">
        <v>1.0</v>
      </c>
      <c r="F15" s="1" t="s">
        <v>30</v>
      </c>
      <c r="G15" s="4">
        <v>45431.0</v>
      </c>
      <c r="H15" s="1" t="s">
        <v>413</v>
      </c>
      <c r="I15" s="1" t="s">
        <v>414</v>
      </c>
      <c r="J15" s="1" t="s">
        <v>415</v>
      </c>
      <c r="K15" s="4">
        <v>45607.0</v>
      </c>
      <c r="L15" s="1" t="s">
        <v>416</v>
      </c>
      <c r="M15" s="1" t="s">
        <v>417</v>
      </c>
      <c r="N15" s="1" t="s">
        <v>418</v>
      </c>
    </row>
    <row r="16">
      <c r="A16" s="1" t="s">
        <v>162</v>
      </c>
      <c r="B16" s="1" t="s">
        <v>389</v>
      </c>
      <c r="C16" s="1">
        <v>1.0</v>
      </c>
      <c r="D16" s="1">
        <v>1.0</v>
      </c>
      <c r="E16" s="1">
        <v>1.0</v>
      </c>
      <c r="F16" s="1" t="s">
        <v>30</v>
      </c>
      <c r="G16" s="4">
        <v>39907.0</v>
      </c>
      <c r="H16" s="1" t="s">
        <v>419</v>
      </c>
      <c r="I16" s="1" t="s">
        <v>420</v>
      </c>
      <c r="J16" s="1" t="s">
        <v>421</v>
      </c>
      <c r="K16" s="4">
        <v>45607.0</v>
      </c>
      <c r="L16" s="1" t="s">
        <v>422</v>
      </c>
      <c r="M16" s="1" t="s">
        <v>423</v>
      </c>
      <c r="N16" s="1" t="s">
        <v>424</v>
      </c>
    </row>
    <row r="17">
      <c r="A17" s="1" t="s">
        <v>287</v>
      </c>
      <c r="B17" s="1" t="s">
        <v>389</v>
      </c>
      <c r="C17" s="1">
        <v>0.0</v>
      </c>
      <c r="D17" s="1">
        <v>1.0</v>
      </c>
      <c r="E17" s="1">
        <v>1.0</v>
      </c>
      <c r="F17" s="1" t="s">
        <v>30</v>
      </c>
      <c r="G17" s="4">
        <v>39646.0</v>
      </c>
      <c r="H17" s="1" t="s">
        <v>425</v>
      </c>
      <c r="I17" s="1" t="s">
        <v>426</v>
      </c>
      <c r="J17" s="1" t="s">
        <v>427</v>
      </c>
      <c r="K17" s="4">
        <v>45607.0</v>
      </c>
      <c r="L17" s="1" t="s">
        <v>428</v>
      </c>
      <c r="M17" s="1" t="s">
        <v>429</v>
      </c>
      <c r="N17" s="1" t="s">
        <v>430</v>
      </c>
    </row>
    <row r="18">
      <c r="A18" s="1" t="s">
        <v>293</v>
      </c>
      <c r="B18" s="1" t="s">
        <v>389</v>
      </c>
      <c r="C18" s="1">
        <v>1.0</v>
      </c>
      <c r="D18" s="1">
        <v>1.0</v>
      </c>
      <c r="E18" s="1">
        <v>1.0</v>
      </c>
      <c r="F18" s="1" t="s">
        <v>30</v>
      </c>
      <c r="G18" s="4">
        <v>44709.0</v>
      </c>
      <c r="H18" s="1" t="s">
        <v>431</v>
      </c>
      <c r="I18" s="1" t="s">
        <v>432</v>
      </c>
      <c r="J18" s="1" t="s">
        <v>433</v>
      </c>
      <c r="K18" s="4">
        <v>44934.0</v>
      </c>
      <c r="L18" s="1" t="s">
        <v>434</v>
      </c>
      <c r="M18" s="1" t="s">
        <v>435</v>
      </c>
      <c r="N18" s="1" t="s">
        <v>436</v>
      </c>
    </row>
    <row r="19">
      <c r="A19" s="1" t="s">
        <v>226</v>
      </c>
      <c r="B19" s="1" t="s">
        <v>389</v>
      </c>
      <c r="C19" s="1">
        <v>0.0</v>
      </c>
      <c r="D19" s="1">
        <v>1.0</v>
      </c>
      <c r="E19" s="1">
        <v>1.0</v>
      </c>
      <c r="F19" s="1" t="s">
        <v>30</v>
      </c>
      <c r="G19" s="4">
        <v>39646.0</v>
      </c>
      <c r="H19" s="1" t="s">
        <v>437</v>
      </c>
      <c r="I19" s="1" t="s">
        <v>438</v>
      </c>
      <c r="J19" s="1" t="s">
        <v>439</v>
      </c>
      <c r="K19" s="4">
        <v>45607.0</v>
      </c>
      <c r="L19" s="1" t="s">
        <v>440</v>
      </c>
      <c r="M19" s="1" t="s">
        <v>441</v>
      </c>
      <c r="N19" s="1" t="s">
        <v>442</v>
      </c>
    </row>
    <row r="20">
      <c r="A20" s="1" t="s">
        <v>232</v>
      </c>
      <c r="B20" s="1" t="s">
        <v>389</v>
      </c>
      <c r="C20" s="1">
        <v>1.0</v>
      </c>
      <c r="D20" s="1">
        <v>1.0</v>
      </c>
      <c r="E20" s="1">
        <v>1.0</v>
      </c>
      <c r="F20" s="1" t="s">
        <v>30</v>
      </c>
      <c r="G20" s="4">
        <v>44709.0</v>
      </c>
      <c r="H20" s="1" t="s">
        <v>443</v>
      </c>
      <c r="I20" s="1" t="s">
        <v>444</v>
      </c>
      <c r="J20" s="1" t="s">
        <v>445</v>
      </c>
      <c r="K20" s="4">
        <v>44946.0</v>
      </c>
      <c r="L20" s="1" t="s">
        <v>446</v>
      </c>
      <c r="M20" s="1" t="s">
        <v>234</v>
      </c>
      <c r="N20" s="1" t="s">
        <v>447</v>
      </c>
    </row>
    <row r="21">
      <c r="A21" s="1" t="s">
        <v>71</v>
      </c>
      <c r="B21" s="1" t="s">
        <v>448</v>
      </c>
      <c r="C21" s="1">
        <v>1.0</v>
      </c>
      <c r="D21" s="1">
        <v>0.0</v>
      </c>
      <c r="E21" s="1">
        <v>1.0</v>
      </c>
      <c r="F21" s="1" t="s">
        <v>22</v>
      </c>
      <c r="G21" s="4">
        <v>44440.0</v>
      </c>
      <c r="H21" s="1" t="s">
        <v>449</v>
      </c>
      <c r="I21" s="1" t="s">
        <v>450</v>
      </c>
      <c r="J21" s="1" t="s">
        <v>451</v>
      </c>
      <c r="K21" s="4">
        <v>45607.0</v>
      </c>
      <c r="L21" s="1" t="s">
        <v>452</v>
      </c>
      <c r="M21" s="1" t="s">
        <v>453</v>
      </c>
      <c r="N21" s="1" t="s">
        <v>454</v>
      </c>
    </row>
    <row r="22">
      <c r="A22" s="1" t="s">
        <v>21</v>
      </c>
      <c r="B22" s="1" t="s">
        <v>448</v>
      </c>
      <c r="C22" s="1">
        <v>1.0</v>
      </c>
      <c r="D22" s="1">
        <v>0.0</v>
      </c>
      <c r="E22" s="1">
        <v>1.0</v>
      </c>
      <c r="F22" s="1" t="s">
        <v>22</v>
      </c>
      <c r="G22" s="4">
        <v>44440.0</v>
      </c>
      <c r="H22" s="1" t="s">
        <v>455</v>
      </c>
      <c r="I22" s="1" t="s">
        <v>456</v>
      </c>
      <c r="J22" s="1" t="s">
        <v>457</v>
      </c>
      <c r="K22" s="4">
        <v>45401.0</v>
      </c>
      <c r="L22" s="1" t="s">
        <v>458</v>
      </c>
      <c r="M22" s="1" t="s">
        <v>459</v>
      </c>
      <c r="N22" s="1" t="s">
        <v>460</v>
      </c>
    </row>
    <row r="23">
      <c r="A23" s="1" t="s">
        <v>281</v>
      </c>
      <c r="B23" s="1" t="s">
        <v>389</v>
      </c>
      <c r="C23" s="1">
        <v>1.0</v>
      </c>
      <c r="D23" s="1">
        <v>1.0</v>
      </c>
      <c r="E23" s="1">
        <v>1.0</v>
      </c>
      <c r="F23" s="1" t="s">
        <v>22</v>
      </c>
      <c r="G23" s="4">
        <v>39937.0</v>
      </c>
      <c r="H23" s="1" t="s">
        <v>461</v>
      </c>
      <c r="I23" s="1" t="s">
        <v>462</v>
      </c>
      <c r="J23" s="1" t="s">
        <v>463</v>
      </c>
      <c r="K23" s="4">
        <v>45607.0</v>
      </c>
      <c r="L23" s="1" t="s">
        <v>464</v>
      </c>
      <c r="M23" s="1" t="s">
        <v>465</v>
      </c>
      <c r="N23" s="1" t="s">
        <v>466</v>
      </c>
    </row>
    <row r="24">
      <c r="A24" s="1" t="s">
        <v>96</v>
      </c>
      <c r="B24" s="1" t="s">
        <v>334</v>
      </c>
      <c r="C24" s="1">
        <v>1.0</v>
      </c>
      <c r="D24" s="1">
        <v>1.0</v>
      </c>
      <c r="E24" s="1">
        <v>2.0</v>
      </c>
      <c r="F24" s="1" t="s">
        <v>30</v>
      </c>
      <c r="G24" s="4">
        <v>44709.0</v>
      </c>
      <c r="H24" s="1" t="s">
        <v>467</v>
      </c>
      <c r="I24" s="1" t="s">
        <v>468</v>
      </c>
      <c r="J24" s="1" t="s">
        <v>469</v>
      </c>
      <c r="K24" s="4">
        <v>45607.0</v>
      </c>
      <c r="L24" s="1" t="s">
        <v>470</v>
      </c>
      <c r="M24" s="1" t="s">
        <v>471</v>
      </c>
      <c r="N24" s="1" t="s">
        <v>472</v>
      </c>
    </row>
    <row r="25">
      <c r="A25" s="1" t="s">
        <v>116</v>
      </c>
      <c r="B25" s="1" t="s">
        <v>334</v>
      </c>
      <c r="C25" s="1">
        <v>1.0</v>
      </c>
      <c r="D25" s="1">
        <v>1.0</v>
      </c>
      <c r="E25" s="1">
        <v>2.0</v>
      </c>
      <c r="F25" s="1" t="s">
        <v>30</v>
      </c>
      <c r="G25" s="4">
        <v>44425.0</v>
      </c>
      <c r="H25" s="1" t="s">
        <v>473</v>
      </c>
      <c r="I25" s="1" t="s">
        <v>474</v>
      </c>
      <c r="J25" s="23">
        <v>160494.0</v>
      </c>
      <c r="K25" s="4">
        <v>45607.0</v>
      </c>
      <c r="L25" s="1" t="s">
        <v>475</v>
      </c>
      <c r="M25" s="1" t="s">
        <v>476</v>
      </c>
      <c r="N25" s="1" t="s">
        <v>477</v>
      </c>
    </row>
    <row r="26">
      <c r="A26" s="1" t="s">
        <v>106</v>
      </c>
      <c r="B26" s="1" t="s">
        <v>334</v>
      </c>
      <c r="C26" s="1">
        <v>1.0</v>
      </c>
      <c r="D26" s="1">
        <v>1.0</v>
      </c>
      <c r="E26" s="1">
        <v>2.0</v>
      </c>
      <c r="F26" s="1" t="s">
        <v>30</v>
      </c>
      <c r="G26" s="4">
        <v>44421.0</v>
      </c>
      <c r="H26" s="1" t="s">
        <v>478</v>
      </c>
      <c r="I26" s="1" t="s">
        <v>479</v>
      </c>
      <c r="J26" s="1" t="s">
        <v>480</v>
      </c>
      <c r="K26" s="4">
        <v>45607.0</v>
      </c>
      <c r="L26" s="1" t="s">
        <v>481</v>
      </c>
      <c r="M26" s="1" t="s">
        <v>482</v>
      </c>
      <c r="N26" s="1" t="s">
        <v>483</v>
      </c>
    </row>
    <row r="27">
      <c r="A27" s="1" t="s">
        <v>111</v>
      </c>
      <c r="B27" s="1" t="s">
        <v>334</v>
      </c>
      <c r="C27" s="1">
        <v>1.0</v>
      </c>
      <c r="D27" s="1">
        <v>1.0</v>
      </c>
      <c r="E27" s="1">
        <v>2.0</v>
      </c>
      <c r="F27" s="1" t="s">
        <v>30</v>
      </c>
      <c r="G27" s="4">
        <v>44366.0</v>
      </c>
      <c r="H27" s="1" t="s">
        <v>484</v>
      </c>
      <c r="I27" s="1" t="s">
        <v>485</v>
      </c>
      <c r="J27" s="23">
        <v>177296.0</v>
      </c>
      <c r="K27" s="4">
        <v>45607.0</v>
      </c>
      <c r="L27" s="1" t="s">
        <v>486</v>
      </c>
      <c r="M27" s="1" t="s">
        <v>487</v>
      </c>
      <c r="N27" s="23">
        <v>178056.0</v>
      </c>
    </row>
    <row r="28">
      <c r="A28" s="1" t="s">
        <v>488</v>
      </c>
      <c r="B28" s="1" t="s">
        <v>389</v>
      </c>
      <c r="C28" s="1">
        <v>1.0</v>
      </c>
      <c r="D28" s="1">
        <v>1.0</v>
      </c>
      <c r="E28" s="1">
        <v>1.0</v>
      </c>
      <c r="F28" s="1" t="s">
        <v>127</v>
      </c>
      <c r="G28" s="4">
        <v>45202.0</v>
      </c>
      <c r="H28" s="1" t="s">
        <v>489</v>
      </c>
      <c r="I28" s="1" t="s">
        <v>490</v>
      </c>
      <c r="J28" s="1" t="s">
        <v>491</v>
      </c>
      <c r="K28" s="4">
        <v>45607.0</v>
      </c>
      <c r="L28" s="1" t="s">
        <v>492</v>
      </c>
      <c r="M28" s="1" t="s">
        <v>493</v>
      </c>
      <c r="N28" s="1" t="s">
        <v>494</v>
      </c>
    </row>
    <row r="29">
      <c r="A29" s="1" t="s">
        <v>245</v>
      </c>
      <c r="B29" s="1" t="s">
        <v>389</v>
      </c>
      <c r="C29" s="1">
        <v>1.0</v>
      </c>
      <c r="D29" s="1">
        <v>0.0</v>
      </c>
      <c r="E29" s="1">
        <v>1.0</v>
      </c>
      <c r="F29" s="1" t="s">
        <v>22</v>
      </c>
      <c r="G29" s="4">
        <v>41848.0</v>
      </c>
      <c r="H29" s="1" t="s">
        <v>495</v>
      </c>
      <c r="I29" s="1" t="s">
        <v>496</v>
      </c>
      <c r="J29" s="1" t="s">
        <v>497</v>
      </c>
      <c r="K29" s="4">
        <v>45607.0</v>
      </c>
      <c r="L29" s="1" t="s">
        <v>498</v>
      </c>
      <c r="M29" s="1" t="s">
        <v>499</v>
      </c>
      <c r="N29" s="1" t="s">
        <v>500</v>
      </c>
    </row>
    <row r="30">
      <c r="A30" s="1" t="s">
        <v>270</v>
      </c>
      <c r="B30" s="1" t="s">
        <v>389</v>
      </c>
      <c r="C30" s="1">
        <v>1.0</v>
      </c>
      <c r="D30" s="1">
        <v>1.0</v>
      </c>
      <c r="E30" s="1">
        <v>1.0</v>
      </c>
      <c r="F30" s="1" t="s">
        <v>30</v>
      </c>
      <c r="G30" s="4">
        <v>39314.0</v>
      </c>
      <c r="H30" s="1" t="s">
        <v>501</v>
      </c>
      <c r="I30" s="1" t="s">
        <v>502</v>
      </c>
      <c r="J30" s="1" t="s">
        <v>503</v>
      </c>
      <c r="K30" s="4">
        <v>45607.0</v>
      </c>
      <c r="L30" s="1" t="s">
        <v>504</v>
      </c>
      <c r="M30" s="1" t="s">
        <v>505</v>
      </c>
      <c r="N30" s="1" t="s">
        <v>506</v>
      </c>
    </row>
    <row r="31">
      <c r="A31" s="1" t="s">
        <v>208</v>
      </c>
      <c r="B31" s="1" t="s">
        <v>389</v>
      </c>
      <c r="C31" s="1">
        <v>0.0</v>
      </c>
      <c r="D31" s="1">
        <v>1.0</v>
      </c>
      <c r="E31" s="1">
        <v>1.0</v>
      </c>
      <c r="F31" s="1" t="s">
        <v>30</v>
      </c>
      <c r="G31" s="4">
        <v>40384.0</v>
      </c>
      <c r="H31" s="1" t="s">
        <v>507</v>
      </c>
      <c r="I31" s="1" t="s">
        <v>508</v>
      </c>
      <c r="J31" s="1" t="s">
        <v>509</v>
      </c>
      <c r="K31" s="4">
        <v>41845.0</v>
      </c>
      <c r="L31" s="1" t="s">
        <v>510</v>
      </c>
      <c r="M31" s="1" t="s">
        <v>511</v>
      </c>
      <c r="N31" s="1" t="s">
        <v>512</v>
      </c>
    </row>
    <row r="32">
      <c r="A32" s="1" t="s">
        <v>513</v>
      </c>
      <c r="B32" s="1" t="s">
        <v>389</v>
      </c>
      <c r="C32" s="1">
        <v>0.0</v>
      </c>
      <c r="D32" s="1">
        <v>1.0</v>
      </c>
      <c r="E32" s="1">
        <v>1.0</v>
      </c>
      <c r="F32" s="1" t="s">
        <v>127</v>
      </c>
      <c r="G32" s="4">
        <v>45602.0</v>
      </c>
      <c r="H32" s="1" t="s">
        <v>514</v>
      </c>
      <c r="I32" s="1" t="s">
        <v>515</v>
      </c>
      <c r="J32" s="1" t="s">
        <v>516</v>
      </c>
      <c r="K32" s="4">
        <v>45607.0</v>
      </c>
      <c r="L32" s="1" t="s">
        <v>517</v>
      </c>
      <c r="M32" s="1" t="s">
        <v>518</v>
      </c>
      <c r="N32" s="1" t="s">
        <v>519</v>
      </c>
    </row>
    <row r="33">
      <c r="A33" s="1" t="s">
        <v>179</v>
      </c>
      <c r="B33" s="1" t="s">
        <v>389</v>
      </c>
      <c r="C33" s="1">
        <v>0.0</v>
      </c>
      <c r="D33" s="1">
        <v>1.0</v>
      </c>
      <c r="E33" s="1">
        <v>1.0</v>
      </c>
      <c r="F33" s="1" t="s">
        <v>30</v>
      </c>
      <c r="G33" s="4">
        <v>39314.0</v>
      </c>
      <c r="H33" s="1" t="s">
        <v>520</v>
      </c>
      <c r="I33" s="1" t="s">
        <v>521</v>
      </c>
      <c r="J33" s="23" t="s">
        <v>522</v>
      </c>
      <c r="K33" s="4">
        <v>45143.0</v>
      </c>
      <c r="L33" s="1" t="s">
        <v>523</v>
      </c>
      <c r="M33" s="1" t="s">
        <v>524</v>
      </c>
      <c r="N33" s="23" t="s">
        <v>525</v>
      </c>
    </row>
    <row r="34">
      <c r="A34" s="1" t="s">
        <v>184</v>
      </c>
      <c r="B34" s="1" t="s">
        <v>389</v>
      </c>
      <c r="C34" s="1">
        <v>1.0</v>
      </c>
      <c r="D34" s="1">
        <v>1.0</v>
      </c>
      <c r="E34" s="1">
        <v>1.0</v>
      </c>
      <c r="F34" s="1" t="s">
        <v>30</v>
      </c>
      <c r="G34" s="4">
        <v>44074.0</v>
      </c>
      <c r="H34" s="1" t="s">
        <v>526</v>
      </c>
      <c r="I34" s="1" t="s">
        <v>527</v>
      </c>
      <c r="J34" s="22" t="s">
        <v>528</v>
      </c>
      <c r="K34" s="4">
        <v>45607.0</v>
      </c>
      <c r="L34" s="1" t="s">
        <v>529</v>
      </c>
      <c r="M34" s="1" t="s">
        <v>530</v>
      </c>
      <c r="N34" s="1" t="s">
        <v>531</v>
      </c>
    </row>
    <row r="35">
      <c r="A35" s="1" t="s">
        <v>194</v>
      </c>
      <c r="B35" s="1" t="s">
        <v>389</v>
      </c>
      <c r="C35" s="1">
        <v>0.0</v>
      </c>
      <c r="D35" s="1">
        <v>1.0</v>
      </c>
      <c r="E35" s="1">
        <v>1.0</v>
      </c>
      <c r="F35" s="1" t="s">
        <v>30</v>
      </c>
      <c r="G35" s="4">
        <v>41141.0</v>
      </c>
      <c r="H35" s="1" t="s">
        <v>532</v>
      </c>
      <c r="I35" s="1" t="s">
        <v>533</v>
      </c>
      <c r="J35" s="1" t="s">
        <v>534</v>
      </c>
      <c r="K35" s="4">
        <v>42240.0</v>
      </c>
      <c r="L35" s="1" t="s">
        <v>535</v>
      </c>
      <c r="M35" s="1" t="s">
        <v>536</v>
      </c>
      <c r="N35" s="1" t="s">
        <v>537</v>
      </c>
    </row>
    <row r="36">
      <c r="A36" s="1" t="s">
        <v>300</v>
      </c>
      <c r="B36" s="1" t="s">
        <v>389</v>
      </c>
      <c r="C36" s="1">
        <v>1.0</v>
      </c>
      <c r="D36" s="1">
        <v>1.0</v>
      </c>
      <c r="E36" s="1">
        <v>1.0</v>
      </c>
      <c r="F36" s="1" t="s">
        <v>30</v>
      </c>
      <c r="G36" s="4">
        <v>39318.0</v>
      </c>
      <c r="H36" s="1" t="s">
        <v>538</v>
      </c>
      <c r="I36" s="1" t="s">
        <v>539</v>
      </c>
      <c r="J36" s="1" t="s">
        <v>540</v>
      </c>
      <c r="K36" s="4">
        <v>45536.0</v>
      </c>
      <c r="L36" s="1" t="s">
        <v>541</v>
      </c>
      <c r="M36" s="1" t="s">
        <v>542</v>
      </c>
      <c r="N36" s="1" t="s">
        <v>543</v>
      </c>
    </row>
    <row r="37">
      <c r="A37" s="1" t="s">
        <v>306</v>
      </c>
      <c r="B37" s="1" t="s">
        <v>389</v>
      </c>
      <c r="C37" s="1">
        <v>1.0</v>
      </c>
      <c r="D37" s="1">
        <v>1.0</v>
      </c>
      <c r="E37" s="1">
        <v>1.0</v>
      </c>
      <c r="F37" s="1" t="s">
        <v>30</v>
      </c>
      <c r="G37" s="4">
        <v>44802.0</v>
      </c>
      <c r="H37" s="1" t="s">
        <v>544</v>
      </c>
      <c r="I37" s="1" t="s">
        <v>545</v>
      </c>
      <c r="J37" s="1" t="s">
        <v>546</v>
      </c>
      <c r="K37" s="4">
        <v>45607.0</v>
      </c>
      <c r="L37" s="1" t="s">
        <v>547</v>
      </c>
      <c r="M37" s="1" t="s">
        <v>548</v>
      </c>
      <c r="N37" s="1" t="s">
        <v>549</v>
      </c>
    </row>
    <row r="38">
      <c r="A38" s="1" t="s">
        <v>65</v>
      </c>
      <c r="B38" s="1" t="s">
        <v>389</v>
      </c>
      <c r="C38" s="1">
        <v>1.0</v>
      </c>
      <c r="D38" s="1">
        <v>1.0</v>
      </c>
      <c r="E38" s="1">
        <v>1.0</v>
      </c>
      <c r="F38" s="1" t="s">
        <v>30</v>
      </c>
      <c r="G38" s="4">
        <v>42593.0</v>
      </c>
      <c r="H38" s="1" t="s">
        <v>550</v>
      </c>
      <c r="I38" s="1" t="s">
        <v>551</v>
      </c>
      <c r="J38" s="1" t="s">
        <v>552</v>
      </c>
      <c r="K38" s="4">
        <v>45171.0</v>
      </c>
      <c r="L38" s="1" t="s">
        <v>553</v>
      </c>
      <c r="M38" s="1" t="s">
        <v>554</v>
      </c>
      <c r="N38" s="1" t="s">
        <v>555</v>
      </c>
    </row>
    <row r="39">
      <c r="A39" s="1" t="s">
        <v>556</v>
      </c>
      <c r="B39" s="1" t="s">
        <v>389</v>
      </c>
      <c r="C39" s="1">
        <v>1.0</v>
      </c>
      <c r="D39" s="1">
        <v>1.0</v>
      </c>
      <c r="E39" s="1">
        <v>1.0</v>
      </c>
      <c r="F39" s="1" t="s">
        <v>30</v>
      </c>
      <c r="G39" s="4">
        <v>45170.0</v>
      </c>
      <c r="H39" s="1" t="s">
        <v>557</v>
      </c>
      <c r="I39" s="1" t="s">
        <v>558</v>
      </c>
      <c r="J39" s="1" t="s">
        <v>559</v>
      </c>
      <c r="K39" s="4">
        <v>45607.0</v>
      </c>
      <c r="L39" s="1" t="s">
        <v>560</v>
      </c>
      <c r="M39" s="1" t="s">
        <v>561</v>
      </c>
      <c r="N39" s="1" t="s">
        <v>562</v>
      </c>
    </row>
    <row r="40">
      <c r="A40" s="1" t="s">
        <v>211</v>
      </c>
      <c r="B40" s="1" t="s">
        <v>389</v>
      </c>
      <c r="C40" s="1">
        <v>1.0</v>
      </c>
      <c r="D40" s="1">
        <v>1.0</v>
      </c>
      <c r="E40" s="1">
        <v>1.0</v>
      </c>
      <c r="F40" s="1" t="s">
        <v>30</v>
      </c>
      <c r="G40" s="4">
        <v>39667.0</v>
      </c>
      <c r="H40" s="1" t="s">
        <v>563</v>
      </c>
      <c r="I40" s="1" t="s">
        <v>564</v>
      </c>
      <c r="J40" s="1" t="s">
        <v>565</v>
      </c>
      <c r="K40" s="4">
        <v>45169.0</v>
      </c>
      <c r="L40" s="1" t="s">
        <v>566</v>
      </c>
      <c r="M40" s="1" t="s">
        <v>567</v>
      </c>
      <c r="N40" s="1" t="s">
        <v>568</v>
      </c>
    </row>
    <row r="41">
      <c r="A41" s="1" t="s">
        <v>217</v>
      </c>
      <c r="B41" s="1" t="s">
        <v>389</v>
      </c>
      <c r="C41" s="1">
        <v>1.0</v>
      </c>
      <c r="D41" s="1">
        <v>1.0</v>
      </c>
      <c r="E41" s="1">
        <v>1.0</v>
      </c>
      <c r="F41" s="1" t="s">
        <v>30</v>
      </c>
      <c r="G41" s="4">
        <v>44072.0</v>
      </c>
      <c r="H41" s="1" t="s">
        <v>569</v>
      </c>
      <c r="I41" s="1" t="s">
        <v>570</v>
      </c>
      <c r="J41" s="1" t="s">
        <v>571</v>
      </c>
      <c r="K41" s="4">
        <v>45607.0</v>
      </c>
      <c r="L41" s="1" t="s">
        <v>572</v>
      </c>
      <c r="M41" s="1" t="s">
        <v>573</v>
      </c>
      <c r="N41" s="1" t="s">
        <v>574</v>
      </c>
    </row>
    <row r="42">
      <c r="A42" s="1" t="s">
        <v>575</v>
      </c>
      <c r="B42" s="1" t="s">
        <v>389</v>
      </c>
      <c r="C42" s="1">
        <v>1.0</v>
      </c>
      <c r="D42" s="1">
        <v>1.0</v>
      </c>
      <c r="E42" s="1">
        <v>1.0</v>
      </c>
      <c r="F42" s="1" t="s">
        <v>30</v>
      </c>
      <c r="G42" s="4">
        <v>45515.0</v>
      </c>
      <c r="H42" s="1" t="s">
        <v>576</v>
      </c>
      <c r="I42" s="1" t="s">
        <v>577</v>
      </c>
      <c r="J42" s="1" t="s">
        <v>578</v>
      </c>
      <c r="K42" s="4">
        <v>45607.0</v>
      </c>
      <c r="L42" s="1" t="s">
        <v>579</v>
      </c>
      <c r="M42" s="1" t="s">
        <v>580</v>
      </c>
      <c r="N42" s="1" t="s">
        <v>581</v>
      </c>
    </row>
    <row r="43">
      <c r="A43" s="1" t="s">
        <v>276</v>
      </c>
      <c r="B43" s="1" t="s">
        <v>389</v>
      </c>
      <c r="C43" s="1">
        <v>1.0</v>
      </c>
      <c r="D43" s="1">
        <v>1.0</v>
      </c>
      <c r="E43" s="1">
        <v>1.0</v>
      </c>
      <c r="F43" s="1" t="s">
        <v>30</v>
      </c>
      <c r="G43" s="4">
        <v>39651.0</v>
      </c>
      <c r="H43" s="1" t="s">
        <v>582</v>
      </c>
      <c r="I43" s="1" t="s">
        <v>583</v>
      </c>
      <c r="J43" s="1" t="s">
        <v>584</v>
      </c>
      <c r="K43" s="4">
        <v>45516.0</v>
      </c>
      <c r="L43" s="1" t="s">
        <v>585</v>
      </c>
      <c r="M43" s="1" t="s">
        <v>586</v>
      </c>
      <c r="N43" s="1" t="s">
        <v>587</v>
      </c>
    </row>
    <row r="44">
      <c r="A44" s="1" t="s">
        <v>588</v>
      </c>
      <c r="B44" s="1" t="s">
        <v>389</v>
      </c>
      <c r="C44" s="1">
        <v>1.0</v>
      </c>
      <c r="D44" s="1">
        <v>1.0</v>
      </c>
      <c r="E44" s="1">
        <v>1.0</v>
      </c>
      <c r="F44" s="1" t="s">
        <v>30</v>
      </c>
      <c r="G44" s="4">
        <v>45517.0</v>
      </c>
      <c r="H44" s="1" t="s">
        <v>589</v>
      </c>
      <c r="I44" s="1" t="s">
        <v>590</v>
      </c>
      <c r="J44" s="1" t="s">
        <v>591</v>
      </c>
      <c r="K44" s="4">
        <v>45607.0</v>
      </c>
      <c r="L44" s="1" t="s">
        <v>592</v>
      </c>
      <c r="M44" s="1" t="s">
        <v>593</v>
      </c>
      <c r="N44" s="1" t="s">
        <v>594</v>
      </c>
    </row>
    <row r="45">
      <c r="A45" s="1" t="s">
        <v>197</v>
      </c>
      <c r="B45" s="1" t="s">
        <v>389</v>
      </c>
      <c r="C45" s="1">
        <v>1.0</v>
      </c>
      <c r="D45" s="1">
        <v>1.0</v>
      </c>
      <c r="E45" s="1">
        <v>1.0</v>
      </c>
      <c r="F45" s="1" t="s">
        <v>30</v>
      </c>
      <c r="G45" s="4">
        <v>39650.0</v>
      </c>
      <c r="H45" s="1" t="s">
        <v>595</v>
      </c>
      <c r="I45" s="1" t="s">
        <v>596</v>
      </c>
      <c r="J45" s="1" t="s">
        <v>597</v>
      </c>
      <c r="K45" s="4">
        <v>45517.0</v>
      </c>
      <c r="L45" s="1" t="s">
        <v>598</v>
      </c>
      <c r="M45" s="1" t="s">
        <v>599</v>
      </c>
      <c r="N45" s="1" t="s">
        <v>600</v>
      </c>
    </row>
    <row r="46">
      <c r="A46" s="1" t="s">
        <v>601</v>
      </c>
      <c r="B46" s="1" t="s">
        <v>389</v>
      </c>
      <c r="C46" s="1">
        <v>1.0</v>
      </c>
      <c r="D46" s="1">
        <v>1.0</v>
      </c>
      <c r="E46" s="1">
        <v>1.0</v>
      </c>
      <c r="F46" s="1" t="s">
        <v>30</v>
      </c>
      <c r="G46" s="4">
        <v>45518.0</v>
      </c>
      <c r="H46" s="1" t="s">
        <v>602</v>
      </c>
      <c r="I46" s="1" t="s">
        <v>603</v>
      </c>
      <c r="J46" s="1" t="s">
        <v>604</v>
      </c>
      <c r="K46" s="4">
        <v>45607.0</v>
      </c>
      <c r="L46" s="1" t="s">
        <v>605</v>
      </c>
      <c r="M46" s="1" t="s">
        <v>606</v>
      </c>
      <c r="N46" s="1" t="s">
        <v>607</v>
      </c>
    </row>
    <row r="47">
      <c r="A47" s="1" t="s">
        <v>101</v>
      </c>
      <c r="B47" s="1" t="s">
        <v>334</v>
      </c>
      <c r="C47" s="1">
        <v>1.0</v>
      </c>
      <c r="D47" s="1">
        <v>1.0</v>
      </c>
      <c r="E47" s="1">
        <v>2.0</v>
      </c>
      <c r="F47" s="1" t="s">
        <v>30</v>
      </c>
      <c r="G47" s="4">
        <v>44361.0</v>
      </c>
      <c r="H47" s="1" t="s">
        <v>608</v>
      </c>
      <c r="I47" s="1" t="s">
        <v>609</v>
      </c>
      <c r="J47" s="23">
        <v>202041.0</v>
      </c>
      <c r="K47" s="4">
        <v>45607.0</v>
      </c>
      <c r="L47" s="1" t="s">
        <v>610</v>
      </c>
      <c r="M47" s="1" t="s">
        <v>611</v>
      </c>
      <c r="N47" s="1" t="s">
        <v>612</v>
      </c>
    </row>
    <row r="48">
      <c r="A48" s="1" t="s">
        <v>91</v>
      </c>
      <c r="B48" s="1" t="s">
        <v>334</v>
      </c>
      <c r="C48" s="1">
        <v>1.0</v>
      </c>
      <c r="D48" s="1">
        <v>1.0</v>
      </c>
      <c r="E48" s="1">
        <v>2.0</v>
      </c>
      <c r="F48" s="1" t="s">
        <v>30</v>
      </c>
      <c r="G48" s="4">
        <v>44368.0</v>
      </c>
      <c r="H48" s="1" t="s">
        <v>613</v>
      </c>
      <c r="I48" s="1" t="s">
        <v>614</v>
      </c>
      <c r="J48" s="1" t="s">
        <v>615</v>
      </c>
      <c r="K48" s="4">
        <v>45607.0</v>
      </c>
      <c r="L48" s="1" t="s">
        <v>616</v>
      </c>
      <c r="M48" s="1" t="s">
        <v>617</v>
      </c>
      <c r="N48" s="1" t="s">
        <v>618</v>
      </c>
    </row>
    <row r="49">
      <c r="A49" s="1" t="s">
        <v>619</v>
      </c>
      <c r="B49" s="1" t="s">
        <v>389</v>
      </c>
      <c r="C49" s="1">
        <v>1.0</v>
      </c>
      <c r="D49" s="1">
        <v>0.0</v>
      </c>
      <c r="E49" s="1">
        <v>1.0</v>
      </c>
      <c r="F49" s="1" t="s">
        <v>620</v>
      </c>
      <c r="G49" s="4">
        <v>45487.0</v>
      </c>
      <c r="H49" s="1" t="s">
        <v>621</v>
      </c>
      <c r="I49" s="1" t="s">
        <v>622</v>
      </c>
      <c r="J49" s="1" t="s">
        <v>623</v>
      </c>
      <c r="K49" s="4">
        <v>45607.0</v>
      </c>
      <c r="L49" s="1" t="s">
        <v>624</v>
      </c>
      <c r="M49" s="1" t="s">
        <v>625</v>
      </c>
      <c r="N49" s="1" t="s">
        <v>626</v>
      </c>
    </row>
    <row r="50">
      <c r="A50" s="1" t="s">
        <v>188</v>
      </c>
      <c r="B50" s="1" t="s">
        <v>334</v>
      </c>
      <c r="C50" s="1">
        <v>1.0</v>
      </c>
      <c r="D50" s="1">
        <v>1.0</v>
      </c>
      <c r="E50" s="1">
        <v>1.0</v>
      </c>
      <c r="F50" s="1" t="s">
        <v>30</v>
      </c>
      <c r="G50" s="4">
        <v>44048.0</v>
      </c>
      <c r="H50" s="1" t="s">
        <v>627</v>
      </c>
      <c r="I50" s="1" t="s">
        <v>628</v>
      </c>
      <c r="J50" s="22" t="s">
        <v>629</v>
      </c>
      <c r="K50" s="4">
        <v>44971.0</v>
      </c>
      <c r="L50" s="1" t="s">
        <v>630</v>
      </c>
      <c r="M50" s="1" t="s">
        <v>631</v>
      </c>
      <c r="N50" s="1" t="s">
        <v>632</v>
      </c>
    </row>
    <row r="51">
      <c r="A51" s="1" t="s">
        <v>173</v>
      </c>
      <c r="B51" s="1" t="s">
        <v>334</v>
      </c>
      <c r="C51" s="1">
        <v>1.0</v>
      </c>
      <c r="D51" s="1">
        <v>1.0</v>
      </c>
      <c r="E51" s="1">
        <v>1.0</v>
      </c>
      <c r="F51" s="1" t="s">
        <v>30</v>
      </c>
      <c r="G51" s="4">
        <v>44775.0</v>
      </c>
      <c r="H51" s="1" t="s">
        <v>633</v>
      </c>
      <c r="I51" s="1" t="s">
        <v>634</v>
      </c>
      <c r="J51" s="1" t="s">
        <v>635</v>
      </c>
      <c r="K51" s="4">
        <v>45607.0</v>
      </c>
      <c r="L51" s="1" t="s">
        <v>636</v>
      </c>
      <c r="M51" s="1" t="s">
        <v>637</v>
      </c>
      <c r="N51" s="1" t="s">
        <v>638</v>
      </c>
    </row>
    <row r="52">
      <c r="A52" s="1" t="s">
        <v>221</v>
      </c>
      <c r="B52" s="1" t="s">
        <v>389</v>
      </c>
      <c r="C52" s="1">
        <v>1.0</v>
      </c>
      <c r="D52" s="1">
        <v>1.0</v>
      </c>
      <c r="E52" s="1">
        <v>1.0</v>
      </c>
      <c r="F52" s="1" t="s">
        <v>30</v>
      </c>
      <c r="G52" s="4">
        <v>41514.0</v>
      </c>
      <c r="H52" s="1" t="s">
        <v>639</v>
      </c>
      <c r="I52" s="1" t="s">
        <v>640</v>
      </c>
      <c r="J52" s="1" t="s">
        <v>641</v>
      </c>
      <c r="K52" s="4">
        <v>45541.0</v>
      </c>
      <c r="L52" s="1" t="s">
        <v>642</v>
      </c>
      <c r="M52" s="1" t="s">
        <v>643</v>
      </c>
      <c r="N52" s="1" t="s">
        <v>644</v>
      </c>
    </row>
    <row r="53">
      <c r="A53" s="1" t="s">
        <v>645</v>
      </c>
      <c r="B53" s="1" t="s">
        <v>389</v>
      </c>
      <c r="C53" s="1">
        <v>1.0</v>
      </c>
      <c r="D53" s="1">
        <v>1.0</v>
      </c>
      <c r="E53" s="1">
        <v>1.0</v>
      </c>
      <c r="F53" s="1" t="s">
        <v>30</v>
      </c>
      <c r="G53" s="4">
        <v>45547.0</v>
      </c>
      <c r="H53" s="1" t="s">
        <v>646</v>
      </c>
      <c r="I53" s="1" t="s">
        <v>647</v>
      </c>
      <c r="J53" s="1" t="s">
        <v>648</v>
      </c>
      <c r="K53" s="4">
        <v>45607.0</v>
      </c>
      <c r="L53" s="1" t="s">
        <v>649</v>
      </c>
      <c r="M53" s="1" t="s">
        <v>650</v>
      </c>
      <c r="N53" s="1" t="s">
        <v>651</v>
      </c>
    </row>
    <row r="54">
      <c r="A54" s="1" t="s">
        <v>310</v>
      </c>
      <c r="B54" s="1" t="s">
        <v>389</v>
      </c>
      <c r="C54" s="1">
        <v>1.0</v>
      </c>
      <c r="D54" s="1">
        <v>1.0</v>
      </c>
      <c r="E54" s="1">
        <v>1.0</v>
      </c>
      <c r="F54" s="1" t="s">
        <v>30</v>
      </c>
      <c r="G54" s="4">
        <v>39317.0</v>
      </c>
      <c r="H54" s="1" t="s">
        <v>652</v>
      </c>
      <c r="I54" s="1" t="s">
        <v>653</v>
      </c>
      <c r="J54" s="1" t="s">
        <v>654</v>
      </c>
      <c r="K54" s="4">
        <v>45607.0</v>
      </c>
      <c r="L54" s="1" t="s">
        <v>655</v>
      </c>
      <c r="M54" s="1" t="s">
        <v>656</v>
      </c>
      <c r="N54" s="1" t="s">
        <v>657</v>
      </c>
    </row>
    <row r="55">
      <c r="A55" s="1" t="s">
        <v>257</v>
      </c>
      <c r="B55" s="1" t="s">
        <v>389</v>
      </c>
      <c r="C55" s="1">
        <v>0.0</v>
      </c>
      <c r="D55" s="1">
        <v>1.0</v>
      </c>
      <c r="E55" s="1">
        <v>1.0</v>
      </c>
      <c r="F55" s="1" t="s">
        <v>30</v>
      </c>
      <c r="G55" s="4">
        <v>39518.0</v>
      </c>
      <c r="H55" s="1" t="s">
        <v>658</v>
      </c>
      <c r="I55" s="1" t="s">
        <v>659</v>
      </c>
      <c r="J55" s="1" t="s">
        <v>660</v>
      </c>
      <c r="K55" s="4">
        <v>42229.0</v>
      </c>
      <c r="L55" s="1" t="s">
        <v>661</v>
      </c>
      <c r="M55" s="1" t="s">
        <v>662</v>
      </c>
      <c r="N55" s="1" t="s">
        <v>663</v>
      </c>
    </row>
    <row r="56">
      <c r="A56" s="1" t="s">
        <v>260</v>
      </c>
      <c r="B56" s="1" t="s">
        <v>389</v>
      </c>
      <c r="C56" s="1">
        <v>1.0</v>
      </c>
      <c r="D56" s="1">
        <v>1.0</v>
      </c>
      <c r="E56" s="1">
        <v>1.0</v>
      </c>
      <c r="F56" s="1" t="s">
        <v>30</v>
      </c>
      <c r="G56" s="4">
        <v>40399.0</v>
      </c>
      <c r="H56" s="1" t="s">
        <v>664</v>
      </c>
      <c r="I56" s="1" t="s">
        <v>665</v>
      </c>
      <c r="J56" s="1" t="s">
        <v>666</v>
      </c>
      <c r="K56" s="4">
        <v>45607.0</v>
      </c>
      <c r="L56" s="1" t="s">
        <v>667</v>
      </c>
      <c r="M56" s="1" t="s">
        <v>668</v>
      </c>
      <c r="N56" s="1" t="s">
        <v>669</v>
      </c>
    </row>
    <row r="57">
      <c r="A57" s="1" t="s">
        <v>266</v>
      </c>
      <c r="B57" s="1" t="s">
        <v>389</v>
      </c>
      <c r="C57" s="1">
        <v>1.0</v>
      </c>
      <c r="D57" s="1">
        <v>1.0</v>
      </c>
      <c r="E57" s="1">
        <v>1.0</v>
      </c>
      <c r="F57" s="1" t="s">
        <v>30</v>
      </c>
      <c r="G57" s="4">
        <v>44697.0</v>
      </c>
      <c r="H57" s="1" t="s">
        <v>670</v>
      </c>
      <c r="I57" s="1" t="s">
        <v>671</v>
      </c>
      <c r="J57" s="1" t="s">
        <v>672</v>
      </c>
      <c r="K57" s="4">
        <v>45607.0</v>
      </c>
      <c r="L57" s="1" t="s">
        <v>673</v>
      </c>
      <c r="M57" s="1" t="s">
        <v>674</v>
      </c>
      <c r="N57" s="1" t="s">
        <v>675</v>
      </c>
    </row>
    <row r="58">
      <c r="A58" s="1" t="s">
        <v>235</v>
      </c>
      <c r="B58" s="1" t="s">
        <v>389</v>
      </c>
      <c r="C58" s="1">
        <v>1.0</v>
      </c>
      <c r="D58" s="1">
        <v>1.0</v>
      </c>
      <c r="E58" s="1">
        <v>1.0</v>
      </c>
      <c r="F58" s="1" t="s">
        <v>30</v>
      </c>
      <c r="G58" s="4">
        <v>40399.0</v>
      </c>
      <c r="H58" s="1" t="s">
        <v>676</v>
      </c>
      <c r="I58" s="1" t="s">
        <v>677</v>
      </c>
      <c r="J58" s="1" t="s">
        <v>678</v>
      </c>
      <c r="K58" s="4">
        <v>44456.0</v>
      </c>
      <c r="L58" s="1" t="s">
        <v>679</v>
      </c>
      <c r="M58" s="1" t="s">
        <v>680</v>
      </c>
      <c r="N58" s="1" t="s">
        <v>681</v>
      </c>
    </row>
    <row r="59">
      <c r="A59" s="1" t="s">
        <v>241</v>
      </c>
      <c r="B59" s="1" t="s">
        <v>389</v>
      </c>
      <c r="C59" s="1">
        <v>0.0</v>
      </c>
      <c r="D59" s="1">
        <v>1.0</v>
      </c>
      <c r="E59" s="1">
        <v>1.0</v>
      </c>
      <c r="F59" s="1" t="s">
        <v>30</v>
      </c>
      <c r="G59" s="4">
        <v>43242.0</v>
      </c>
      <c r="H59" s="1" t="s">
        <v>682</v>
      </c>
      <c r="I59" s="1" t="s">
        <v>683</v>
      </c>
      <c r="J59" s="1" t="s">
        <v>684</v>
      </c>
      <c r="K59" s="4">
        <v>45156.0</v>
      </c>
      <c r="L59" s="1" t="s">
        <v>685</v>
      </c>
      <c r="M59" s="1" t="s">
        <v>686</v>
      </c>
      <c r="N59" s="1" t="s">
        <v>687</v>
      </c>
    </row>
    <row r="60">
      <c r="A60" s="1" t="s">
        <v>688</v>
      </c>
      <c r="B60" s="1" t="s">
        <v>389</v>
      </c>
      <c r="C60" s="1">
        <v>1.0</v>
      </c>
      <c r="D60" s="1">
        <v>1.0</v>
      </c>
      <c r="E60" s="1">
        <v>1.0</v>
      </c>
      <c r="F60" s="1" t="s">
        <v>30</v>
      </c>
      <c r="G60" s="4">
        <v>45430.0</v>
      </c>
      <c r="H60" s="1" t="s">
        <v>689</v>
      </c>
      <c r="I60" s="1" t="s">
        <v>690</v>
      </c>
      <c r="J60" s="1" t="s">
        <v>691</v>
      </c>
      <c r="K60" s="4">
        <v>45607.0</v>
      </c>
      <c r="L60" s="1" t="s">
        <v>692</v>
      </c>
      <c r="M60" s="1" t="s">
        <v>693</v>
      </c>
      <c r="N60" s="1" t="s">
        <v>694</v>
      </c>
    </row>
    <row r="61">
      <c r="A61" s="1" t="s">
        <v>85</v>
      </c>
      <c r="B61" s="1" t="s">
        <v>334</v>
      </c>
      <c r="C61" s="1">
        <v>1.0</v>
      </c>
      <c r="D61" s="1">
        <v>1.0</v>
      </c>
      <c r="E61" s="1">
        <v>2.0</v>
      </c>
      <c r="F61" s="1" t="s">
        <v>30</v>
      </c>
      <c r="G61" s="4">
        <v>44708.0</v>
      </c>
      <c r="H61" s="1" t="s">
        <v>695</v>
      </c>
      <c r="I61" s="1" t="s">
        <v>696</v>
      </c>
      <c r="J61" s="1" t="s">
        <v>697</v>
      </c>
      <c r="K61" s="4">
        <v>45607.0</v>
      </c>
      <c r="L61" s="1" t="s">
        <v>698</v>
      </c>
      <c r="M61" s="1" t="s">
        <v>699</v>
      </c>
      <c r="N61" s="1" t="s">
        <v>700</v>
      </c>
    </row>
    <row r="62">
      <c r="A62" s="1" t="s">
        <v>316</v>
      </c>
      <c r="B62" s="1" t="s">
        <v>389</v>
      </c>
      <c r="C62" s="1">
        <v>1.0</v>
      </c>
      <c r="D62" s="1">
        <v>1.0</v>
      </c>
      <c r="E62" s="1">
        <v>1.0</v>
      </c>
      <c r="F62" s="1" t="s">
        <v>30</v>
      </c>
      <c r="G62" s="4">
        <v>40042.0</v>
      </c>
      <c r="H62" s="1" t="s">
        <v>701</v>
      </c>
      <c r="I62" s="1" t="s">
        <v>702</v>
      </c>
      <c r="J62" s="1" t="s">
        <v>703</v>
      </c>
      <c r="K62" s="4">
        <v>45607.0</v>
      </c>
      <c r="L62" s="1" t="s">
        <v>704</v>
      </c>
      <c r="M62" s="1" t="s">
        <v>705</v>
      </c>
      <c r="N62" s="1" t="s">
        <v>706</v>
      </c>
    </row>
    <row r="63">
      <c r="A63" s="1" t="s">
        <v>202</v>
      </c>
      <c r="B63" s="1" t="s">
        <v>389</v>
      </c>
      <c r="C63" s="1">
        <v>1.0</v>
      </c>
      <c r="D63" s="1">
        <v>1.0</v>
      </c>
      <c r="E63" s="1">
        <v>1.0</v>
      </c>
      <c r="F63" s="1" t="s">
        <v>30</v>
      </c>
      <c r="G63" s="4">
        <v>40043.0</v>
      </c>
      <c r="H63" s="1" t="s">
        <v>707</v>
      </c>
      <c r="I63" s="1" t="s">
        <v>708</v>
      </c>
      <c r="J63" s="1" t="s">
        <v>709</v>
      </c>
      <c r="K63" s="4">
        <v>45607.0</v>
      </c>
      <c r="L63" s="1" t="s">
        <v>710</v>
      </c>
      <c r="M63" s="1" t="s">
        <v>711</v>
      </c>
      <c r="N63" s="1" t="s">
        <v>712</v>
      </c>
    </row>
    <row r="64">
      <c r="A64" s="1" t="s">
        <v>13</v>
      </c>
      <c r="B64" s="1" t="s">
        <v>13</v>
      </c>
      <c r="C64" s="1">
        <v>1.0</v>
      </c>
      <c r="D64" s="1">
        <v>0.0</v>
      </c>
      <c r="E64" s="1">
        <v>1.0</v>
      </c>
      <c r="F64" s="1" t="s">
        <v>15</v>
      </c>
      <c r="G64" s="4">
        <v>43939.0</v>
      </c>
      <c r="H64" s="1" t="s">
        <v>713</v>
      </c>
      <c r="I64" s="1" t="s">
        <v>714</v>
      </c>
      <c r="J64" s="1" t="s">
        <v>715</v>
      </c>
      <c r="K64" s="4">
        <v>45606.0</v>
      </c>
      <c r="L64" s="1" t="s">
        <v>716</v>
      </c>
      <c r="M64" s="1" t="s">
        <v>717</v>
      </c>
      <c r="N64" s="1" t="s">
        <v>718</v>
      </c>
    </row>
    <row r="65">
      <c r="A65" s="1" t="s">
        <v>126</v>
      </c>
      <c r="B65" s="1" t="s">
        <v>719</v>
      </c>
      <c r="C65" s="1">
        <v>1.0</v>
      </c>
      <c r="D65" s="1">
        <v>0.0</v>
      </c>
      <c r="E65" s="1">
        <v>1.0</v>
      </c>
      <c r="F65" s="1" t="s">
        <v>127</v>
      </c>
      <c r="G65" s="4">
        <v>44741.0</v>
      </c>
      <c r="H65" s="1" t="s">
        <v>720</v>
      </c>
      <c r="I65" s="1" t="s">
        <v>721</v>
      </c>
      <c r="J65" s="1" t="s">
        <v>722</v>
      </c>
      <c r="K65" s="4">
        <v>45585.0</v>
      </c>
      <c r="L65" s="1" t="s">
        <v>723</v>
      </c>
      <c r="M65" s="1" t="s">
        <v>724</v>
      </c>
      <c r="N65" s="24">
        <v>45552.0</v>
      </c>
    </row>
    <row r="66">
      <c r="A66" s="1" t="s">
        <v>725</v>
      </c>
      <c r="B66" s="1" t="s">
        <v>719</v>
      </c>
      <c r="C66" s="1">
        <v>1.0</v>
      </c>
      <c r="D66" s="1">
        <v>0.0</v>
      </c>
      <c r="E66" s="1">
        <v>1.0</v>
      </c>
      <c r="F66" s="1" t="s">
        <v>30</v>
      </c>
      <c r="G66" s="4">
        <v>44787.0</v>
      </c>
      <c r="H66" s="1" t="s">
        <v>726</v>
      </c>
      <c r="I66" s="1" t="s">
        <v>727</v>
      </c>
      <c r="J66" s="1" t="s">
        <v>728</v>
      </c>
      <c r="K66" s="4">
        <v>45607.0</v>
      </c>
      <c r="L66" s="1" t="s">
        <v>729</v>
      </c>
      <c r="M66" s="1" t="s">
        <v>730</v>
      </c>
      <c r="N66" s="1" t="s">
        <v>731</v>
      </c>
    </row>
    <row r="67">
      <c r="A67" s="1" t="s">
        <v>732</v>
      </c>
      <c r="B67" s="1" t="s">
        <v>733</v>
      </c>
      <c r="C67" s="1">
        <v>1.0</v>
      </c>
      <c r="D67" s="1">
        <v>0.0</v>
      </c>
      <c r="E67" s="1">
        <v>2.0</v>
      </c>
      <c r="F67" s="1" t="s">
        <v>22</v>
      </c>
      <c r="G67" s="4">
        <v>45038.0</v>
      </c>
      <c r="H67" s="1" t="s">
        <v>734</v>
      </c>
      <c r="I67" s="1" t="s">
        <v>735</v>
      </c>
      <c r="J67" s="22" t="s">
        <v>736</v>
      </c>
      <c r="K67" s="4">
        <v>45447.0</v>
      </c>
      <c r="L67" s="1" t="s">
        <v>737</v>
      </c>
      <c r="M67" s="1" t="s">
        <v>738</v>
      </c>
      <c r="N67" s="1" t="s">
        <v>739</v>
      </c>
    </row>
    <row r="68">
      <c r="A68" s="1" t="s">
        <v>740</v>
      </c>
      <c r="B68" s="1" t="s">
        <v>733</v>
      </c>
      <c r="C68" s="1">
        <v>1.0</v>
      </c>
      <c r="D68" s="1">
        <v>0.0</v>
      </c>
      <c r="E68" s="1">
        <v>1.0</v>
      </c>
      <c r="F68" s="1" t="s">
        <v>22</v>
      </c>
      <c r="G68" s="4">
        <v>44671.0</v>
      </c>
      <c r="H68" s="1" t="s">
        <v>741</v>
      </c>
      <c r="I68" s="1" t="s">
        <v>742</v>
      </c>
      <c r="J68" s="1" t="s">
        <v>743</v>
      </c>
      <c r="K68" s="4">
        <v>45607.0</v>
      </c>
      <c r="L68" s="1" t="s">
        <v>744</v>
      </c>
      <c r="M68" s="1" t="s">
        <v>745</v>
      </c>
      <c r="N68" s="1" t="s">
        <v>746</v>
      </c>
    </row>
    <row r="69">
      <c r="A69" s="1" t="s">
        <v>747</v>
      </c>
      <c r="B69" s="1" t="s">
        <v>733</v>
      </c>
      <c r="C69" s="1">
        <v>1.0</v>
      </c>
      <c r="D69" s="1">
        <v>0.0</v>
      </c>
      <c r="E69" s="1">
        <v>1.0</v>
      </c>
      <c r="F69" s="1" t="s">
        <v>22</v>
      </c>
      <c r="G69" s="4">
        <v>44672.0</v>
      </c>
      <c r="H69" s="1" t="s">
        <v>748</v>
      </c>
      <c r="I69" s="1" t="s">
        <v>749</v>
      </c>
      <c r="J69" s="1" t="s">
        <v>750</v>
      </c>
      <c r="K69" s="4">
        <v>45501.0</v>
      </c>
      <c r="L69" s="1" t="s">
        <v>751</v>
      </c>
      <c r="M69" s="1" t="s">
        <v>752</v>
      </c>
      <c r="N69" s="1" t="s">
        <v>753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754</v>
      </c>
    </row>
    <row r="3">
      <c r="A3" s="1" t="s">
        <v>755</v>
      </c>
    </row>
    <row r="4">
      <c r="A4" s="1" t="s">
        <v>756</v>
      </c>
    </row>
    <row r="5">
      <c r="A5" s="1" t="s">
        <v>757</v>
      </c>
    </row>
    <row r="6">
      <c r="A6" s="1" t="s">
        <v>758</v>
      </c>
    </row>
    <row r="7">
      <c r="A7" s="1" t="s">
        <v>759</v>
      </c>
    </row>
    <row r="8">
      <c r="A8" s="1" t="s">
        <v>760</v>
      </c>
    </row>
    <row r="9">
      <c r="A9" s="1" t="s">
        <v>761</v>
      </c>
    </row>
    <row r="10">
      <c r="A10" s="1" t="s">
        <v>762</v>
      </c>
    </row>
    <row r="11">
      <c r="A11" s="1" t="s">
        <v>763</v>
      </c>
    </row>
    <row r="12">
      <c r="A12" s="1" t="s">
        <v>764</v>
      </c>
    </row>
    <row r="13">
      <c r="A13" s="1" t="s">
        <v>765</v>
      </c>
    </row>
    <row r="14">
      <c r="A14" s="1" t="s">
        <v>766</v>
      </c>
    </row>
    <row r="15">
      <c r="A15" s="1" t="s">
        <v>767</v>
      </c>
    </row>
    <row r="16">
      <c r="A16" s="1" t="s">
        <v>768</v>
      </c>
    </row>
    <row r="17">
      <c r="A17" s="1" t="s">
        <v>769</v>
      </c>
    </row>
    <row r="18">
      <c r="A18" s="1" t="s">
        <v>770</v>
      </c>
    </row>
    <row r="19">
      <c r="A19" s="1" t="s">
        <v>771</v>
      </c>
    </row>
    <row r="20">
      <c r="A20" s="1" t="s">
        <v>772</v>
      </c>
    </row>
    <row r="21">
      <c r="A21" s="1" t="s">
        <v>773</v>
      </c>
    </row>
    <row r="22">
      <c r="A22" s="1" t="s">
        <v>774</v>
      </c>
    </row>
    <row r="23">
      <c r="A23" s="1" t="s">
        <v>775</v>
      </c>
    </row>
    <row r="24">
      <c r="A24" s="1" t="s">
        <v>776</v>
      </c>
    </row>
    <row r="25">
      <c r="A25" s="1" t="s">
        <v>777</v>
      </c>
    </row>
    <row r="26">
      <c r="A26" s="1" t="s">
        <v>778</v>
      </c>
    </row>
    <row r="27">
      <c r="A27" s="1" t="s">
        <v>779</v>
      </c>
    </row>
    <row r="28">
      <c r="A28" s="1" t="s">
        <v>780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781</v>
      </c>
      <c r="B1" s="1" t="s">
        <v>323</v>
      </c>
      <c r="C1" s="1"/>
      <c r="D1" s="1"/>
      <c r="E1" s="1" t="s">
        <v>2</v>
      </c>
      <c r="F1" s="1" t="s">
        <v>782</v>
      </c>
      <c r="G1" s="1" t="s">
        <v>3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333</v>
      </c>
    </row>
    <row r="2">
      <c r="A2" s="1" t="s">
        <v>783</v>
      </c>
      <c r="B2" s="1" t="s">
        <v>334</v>
      </c>
      <c r="C2" s="1">
        <v>1.0</v>
      </c>
      <c r="D2" s="1"/>
      <c r="E2" s="1" t="s">
        <v>30</v>
      </c>
      <c r="F2" s="1" t="s">
        <v>784</v>
      </c>
      <c r="G2" s="4">
        <v>34857.0</v>
      </c>
      <c r="H2" s="1" t="s">
        <v>785</v>
      </c>
      <c r="I2" s="1" t="s">
        <v>786</v>
      </c>
      <c r="J2" s="23" t="s">
        <v>787</v>
      </c>
      <c r="K2" s="4">
        <v>45607.0</v>
      </c>
      <c r="L2" s="1" t="s">
        <v>344</v>
      </c>
      <c r="M2" s="1" t="s">
        <v>345</v>
      </c>
      <c r="N2" s="1" t="s">
        <v>346</v>
      </c>
    </row>
    <row r="3">
      <c r="A3" s="1" t="s">
        <v>142</v>
      </c>
      <c r="B3" s="1" t="s">
        <v>334</v>
      </c>
      <c r="C3" s="1">
        <v>1.0</v>
      </c>
      <c r="D3" s="1"/>
      <c r="E3" s="1" t="s">
        <v>30</v>
      </c>
      <c r="F3" s="1" t="s">
        <v>788</v>
      </c>
      <c r="G3" s="4">
        <v>34842.0</v>
      </c>
      <c r="H3" s="1" t="s">
        <v>789</v>
      </c>
      <c r="I3" s="1" t="s">
        <v>790</v>
      </c>
      <c r="J3" s="1" t="s">
        <v>791</v>
      </c>
      <c r="K3" s="4">
        <v>45607.0</v>
      </c>
      <c r="L3" s="1" t="s">
        <v>350</v>
      </c>
      <c r="M3" s="1" t="s">
        <v>351</v>
      </c>
      <c r="N3" s="1" t="s">
        <v>352</v>
      </c>
    </row>
    <row r="4">
      <c r="A4" s="1" t="s">
        <v>121</v>
      </c>
      <c r="B4" s="1" t="s">
        <v>334</v>
      </c>
      <c r="C4" s="1">
        <v>1.0</v>
      </c>
      <c r="D4" s="1"/>
      <c r="E4" s="1" t="s">
        <v>30</v>
      </c>
      <c r="F4" s="1" t="s">
        <v>792</v>
      </c>
      <c r="G4" s="4">
        <v>35209.0</v>
      </c>
      <c r="H4" s="1" t="s">
        <v>793</v>
      </c>
      <c r="I4" s="1" t="s">
        <v>794</v>
      </c>
      <c r="J4" s="1" t="s">
        <v>795</v>
      </c>
      <c r="K4" s="4">
        <v>45607.0</v>
      </c>
      <c r="L4" s="1" t="s">
        <v>356</v>
      </c>
      <c r="M4" s="1" t="s">
        <v>357</v>
      </c>
      <c r="N4" s="1" t="s">
        <v>358</v>
      </c>
    </row>
    <row r="5">
      <c r="A5" s="1" t="s">
        <v>147</v>
      </c>
      <c r="B5" s="1" t="s">
        <v>334</v>
      </c>
      <c r="C5" s="1">
        <v>1.0</v>
      </c>
      <c r="D5" s="1"/>
      <c r="E5" s="1" t="s">
        <v>30</v>
      </c>
      <c r="F5" s="1" t="s">
        <v>796</v>
      </c>
      <c r="G5" s="4">
        <v>41776.0</v>
      </c>
      <c r="H5" s="1" t="s">
        <v>797</v>
      </c>
      <c r="I5" s="1" t="s">
        <v>798</v>
      </c>
      <c r="J5" s="22">
        <v>278802.0</v>
      </c>
      <c r="K5" s="4">
        <v>45607.0</v>
      </c>
      <c r="L5" s="1" t="s">
        <v>362</v>
      </c>
      <c r="M5" s="1" t="s">
        <v>363</v>
      </c>
      <c r="N5" s="22">
        <v>280874.0</v>
      </c>
    </row>
    <row r="6">
      <c r="A6" s="1" t="s">
        <v>364</v>
      </c>
      <c r="B6" s="1" t="s">
        <v>365</v>
      </c>
      <c r="C6" s="1"/>
      <c r="D6" s="1">
        <v>1.0</v>
      </c>
      <c r="E6" s="1" t="s">
        <v>22</v>
      </c>
      <c r="F6" s="1" t="s">
        <v>364</v>
      </c>
      <c r="G6" s="4">
        <v>44404.0</v>
      </c>
      <c r="H6" s="1" t="s">
        <v>366</v>
      </c>
      <c r="I6" s="1" t="s">
        <v>367</v>
      </c>
      <c r="J6" s="1" t="s">
        <v>368</v>
      </c>
      <c r="K6" s="4">
        <v>45607.0</v>
      </c>
      <c r="L6" s="1" t="s">
        <v>369</v>
      </c>
      <c r="M6" s="1" t="s">
        <v>370</v>
      </c>
      <c r="N6" s="1" t="s">
        <v>371</v>
      </c>
    </row>
    <row r="7">
      <c r="A7" s="1" t="s">
        <v>137</v>
      </c>
      <c r="B7" s="1" t="s">
        <v>334</v>
      </c>
      <c r="C7" s="1">
        <v>1.0</v>
      </c>
      <c r="D7" s="1"/>
      <c r="E7" s="1" t="s">
        <v>30</v>
      </c>
      <c r="F7" s="1" t="s">
        <v>799</v>
      </c>
      <c r="G7" s="4">
        <v>34872.0</v>
      </c>
      <c r="H7" s="1" t="s">
        <v>800</v>
      </c>
      <c r="I7" s="1" t="s">
        <v>801</v>
      </c>
      <c r="J7" s="1" t="s">
        <v>802</v>
      </c>
      <c r="K7" s="4">
        <v>45607.0</v>
      </c>
      <c r="L7" s="1" t="s">
        <v>374</v>
      </c>
      <c r="M7" s="1" t="s">
        <v>375</v>
      </c>
      <c r="N7" s="1" t="s">
        <v>376</v>
      </c>
    </row>
    <row r="8">
      <c r="A8" s="1" t="s">
        <v>37</v>
      </c>
      <c r="B8" s="1" t="s">
        <v>334</v>
      </c>
      <c r="C8" s="1">
        <v>1.0</v>
      </c>
      <c r="D8" s="1"/>
      <c r="E8" s="1" t="s">
        <v>30</v>
      </c>
      <c r="F8" s="1" t="s">
        <v>803</v>
      </c>
      <c r="G8" s="4">
        <v>35235.0</v>
      </c>
      <c r="H8" s="1" t="s">
        <v>804</v>
      </c>
      <c r="I8" s="1" t="s">
        <v>805</v>
      </c>
      <c r="J8" s="1" t="s">
        <v>806</v>
      </c>
      <c r="K8" s="4">
        <v>45607.0</v>
      </c>
      <c r="L8" s="1" t="s">
        <v>386</v>
      </c>
      <c r="M8" s="1" t="s">
        <v>387</v>
      </c>
      <c r="N8" s="1" t="s">
        <v>388</v>
      </c>
    </row>
    <row r="9">
      <c r="A9" s="1" t="s">
        <v>297</v>
      </c>
      <c r="B9" s="1" t="s">
        <v>389</v>
      </c>
      <c r="C9" s="1">
        <v>1.0</v>
      </c>
      <c r="D9" s="1"/>
      <c r="E9" s="1" t="s">
        <v>127</v>
      </c>
      <c r="F9" s="1" t="s">
        <v>297</v>
      </c>
      <c r="G9" s="4">
        <v>40646.0</v>
      </c>
      <c r="H9" s="1" t="s">
        <v>390</v>
      </c>
      <c r="I9" s="1" t="s">
        <v>391</v>
      </c>
      <c r="J9" s="1" t="s">
        <v>392</v>
      </c>
      <c r="K9" s="4">
        <v>45607.0</v>
      </c>
      <c r="L9" s="1" t="s">
        <v>390</v>
      </c>
      <c r="M9" s="1" t="s">
        <v>391</v>
      </c>
      <c r="N9" s="1" t="s">
        <v>392</v>
      </c>
    </row>
    <row r="10">
      <c r="A10" s="1" t="s">
        <v>251</v>
      </c>
      <c r="B10" s="1" t="s">
        <v>389</v>
      </c>
      <c r="C10" s="1">
        <v>1.0</v>
      </c>
      <c r="D10" s="1"/>
      <c r="E10" s="1" t="s">
        <v>30</v>
      </c>
      <c r="F10" s="1" t="s">
        <v>807</v>
      </c>
      <c r="G10" s="4">
        <v>39692.0</v>
      </c>
      <c r="H10" s="1" t="s">
        <v>393</v>
      </c>
      <c r="I10" s="1" t="s">
        <v>394</v>
      </c>
      <c r="J10" s="1" t="s">
        <v>395</v>
      </c>
      <c r="K10" s="4">
        <v>45607.0</v>
      </c>
      <c r="L10" s="1" t="s">
        <v>403</v>
      </c>
      <c r="M10" s="1" t="s">
        <v>404</v>
      </c>
      <c r="N10" s="1" t="s">
        <v>405</v>
      </c>
    </row>
    <row r="11">
      <c r="A11" s="1" t="s">
        <v>167</v>
      </c>
      <c r="B11" s="1" t="s">
        <v>389</v>
      </c>
      <c r="C11" s="1">
        <v>1.0</v>
      </c>
      <c r="D11" s="1"/>
      <c r="E11" s="1" t="s">
        <v>30</v>
      </c>
      <c r="F11" s="1" t="s">
        <v>167</v>
      </c>
      <c r="G11" s="4">
        <v>39693.0</v>
      </c>
      <c r="H11" s="1" t="s">
        <v>406</v>
      </c>
      <c r="I11" s="1" t="s">
        <v>407</v>
      </c>
      <c r="J11" s="22" t="s">
        <v>408</v>
      </c>
      <c r="K11" s="4">
        <v>45607.0</v>
      </c>
      <c r="L11" s="1" t="s">
        <v>409</v>
      </c>
      <c r="M11" s="1" t="s">
        <v>410</v>
      </c>
      <c r="N11" s="1" t="s">
        <v>411</v>
      </c>
    </row>
    <row r="12">
      <c r="A12" s="1" t="s">
        <v>808</v>
      </c>
      <c r="B12" s="1" t="s">
        <v>389</v>
      </c>
      <c r="C12" s="1">
        <v>1.0</v>
      </c>
      <c r="D12" s="1"/>
      <c r="E12" s="1" t="s">
        <v>30</v>
      </c>
      <c r="F12" s="1" t="s">
        <v>412</v>
      </c>
      <c r="G12" s="4">
        <v>45431.0</v>
      </c>
      <c r="H12" s="1" t="s">
        <v>413</v>
      </c>
      <c r="I12" s="1" t="s">
        <v>414</v>
      </c>
      <c r="J12" s="1" t="s">
        <v>415</v>
      </c>
      <c r="K12" s="4">
        <v>45607.0</v>
      </c>
      <c r="L12" s="1" t="s">
        <v>416</v>
      </c>
      <c r="M12" s="1" t="s">
        <v>417</v>
      </c>
      <c r="N12" s="1" t="s">
        <v>418</v>
      </c>
    </row>
    <row r="13">
      <c r="A13" s="1" t="s">
        <v>162</v>
      </c>
      <c r="B13" s="1" t="s">
        <v>389</v>
      </c>
      <c r="C13" s="1">
        <v>1.0</v>
      </c>
      <c r="D13" s="1"/>
      <c r="E13" s="1" t="s">
        <v>30</v>
      </c>
      <c r="F13" s="1" t="s">
        <v>162</v>
      </c>
      <c r="G13" s="4">
        <v>39907.0</v>
      </c>
      <c r="H13" s="1" t="s">
        <v>419</v>
      </c>
      <c r="I13" s="1" t="s">
        <v>420</v>
      </c>
      <c r="J13" s="1" t="s">
        <v>421</v>
      </c>
      <c r="K13" s="4">
        <v>45607.0</v>
      </c>
      <c r="L13" s="1" t="s">
        <v>422</v>
      </c>
      <c r="M13" s="1" t="s">
        <v>423</v>
      </c>
      <c r="N13" s="1" t="s">
        <v>424</v>
      </c>
    </row>
    <row r="14">
      <c r="A14" s="1" t="s">
        <v>287</v>
      </c>
      <c r="B14" s="1" t="s">
        <v>389</v>
      </c>
      <c r="C14" s="1">
        <v>1.0</v>
      </c>
      <c r="D14" s="1"/>
      <c r="E14" s="1" t="s">
        <v>30</v>
      </c>
      <c r="F14" s="1" t="s">
        <v>809</v>
      </c>
      <c r="G14" s="4">
        <v>39646.0</v>
      </c>
      <c r="H14" s="1" t="s">
        <v>425</v>
      </c>
      <c r="I14" s="1" t="s">
        <v>426</v>
      </c>
      <c r="J14" s="1" t="s">
        <v>427</v>
      </c>
      <c r="K14" s="4">
        <v>44934.0</v>
      </c>
      <c r="L14" s="1" t="s">
        <v>434</v>
      </c>
      <c r="M14" s="1" t="s">
        <v>435</v>
      </c>
      <c r="N14" s="1" t="s">
        <v>436</v>
      </c>
    </row>
    <row r="15">
      <c r="A15" s="1" t="s">
        <v>226</v>
      </c>
      <c r="B15" s="1" t="s">
        <v>389</v>
      </c>
      <c r="C15" s="1">
        <v>1.0</v>
      </c>
      <c r="D15" s="1"/>
      <c r="E15" s="1" t="s">
        <v>30</v>
      </c>
      <c r="F15" s="1" t="s">
        <v>810</v>
      </c>
      <c r="G15" s="4">
        <v>39646.0</v>
      </c>
      <c r="H15" s="1" t="s">
        <v>437</v>
      </c>
      <c r="I15" s="1" t="s">
        <v>438</v>
      </c>
      <c r="J15" s="1" t="s">
        <v>439</v>
      </c>
      <c r="K15" s="4">
        <v>44946.0</v>
      </c>
      <c r="L15" s="1" t="s">
        <v>446</v>
      </c>
      <c r="M15" s="1" t="s">
        <v>234</v>
      </c>
      <c r="N15" s="1" t="s">
        <v>447</v>
      </c>
    </row>
    <row r="16">
      <c r="A16" s="1" t="s">
        <v>71</v>
      </c>
      <c r="B16" s="1" t="s">
        <v>448</v>
      </c>
      <c r="C16" s="1"/>
      <c r="D16" s="1">
        <v>1.0</v>
      </c>
      <c r="E16" s="1" t="s">
        <v>22</v>
      </c>
      <c r="F16" s="1" t="s">
        <v>71</v>
      </c>
      <c r="G16" s="4">
        <v>44440.0</v>
      </c>
      <c r="H16" s="1" t="s">
        <v>449</v>
      </c>
      <c r="I16" s="1" t="s">
        <v>450</v>
      </c>
      <c r="J16" s="1" t="s">
        <v>451</v>
      </c>
      <c r="K16" s="4">
        <v>45607.0</v>
      </c>
      <c r="L16" s="1" t="s">
        <v>452</v>
      </c>
      <c r="M16" s="1" t="s">
        <v>453</v>
      </c>
      <c r="N16" s="1" t="s">
        <v>454</v>
      </c>
    </row>
    <row r="17">
      <c r="A17" s="1" t="s">
        <v>21</v>
      </c>
      <c r="B17" s="1" t="s">
        <v>448</v>
      </c>
      <c r="C17" s="1"/>
      <c r="D17" s="1">
        <v>1.0</v>
      </c>
      <c r="E17" s="1" t="s">
        <v>22</v>
      </c>
      <c r="F17" s="1" t="s">
        <v>21</v>
      </c>
      <c r="G17" s="4">
        <v>44440.0</v>
      </c>
      <c r="H17" s="1" t="s">
        <v>455</v>
      </c>
      <c r="I17" s="1" t="s">
        <v>456</v>
      </c>
      <c r="J17" s="1" t="s">
        <v>457</v>
      </c>
      <c r="K17" s="4">
        <v>45401.0</v>
      </c>
      <c r="L17" s="1" t="s">
        <v>458</v>
      </c>
      <c r="M17" s="1" t="s">
        <v>459</v>
      </c>
      <c r="N17" s="1" t="s">
        <v>460</v>
      </c>
    </row>
    <row r="18">
      <c r="A18" s="1" t="s">
        <v>281</v>
      </c>
      <c r="B18" s="1" t="s">
        <v>389</v>
      </c>
      <c r="C18" s="1">
        <v>1.0</v>
      </c>
      <c r="E18" s="1" t="s">
        <v>22</v>
      </c>
      <c r="F18" s="1" t="s">
        <v>281</v>
      </c>
      <c r="G18" s="4">
        <v>39937.0</v>
      </c>
      <c r="H18" s="1" t="s">
        <v>461</v>
      </c>
      <c r="I18" s="1" t="s">
        <v>462</v>
      </c>
      <c r="J18" s="1" t="s">
        <v>463</v>
      </c>
      <c r="K18" s="4">
        <v>45607.0</v>
      </c>
      <c r="L18" s="1" t="s">
        <v>464</v>
      </c>
      <c r="M18" s="1" t="s">
        <v>465</v>
      </c>
      <c r="N18" s="1" t="s">
        <v>466</v>
      </c>
    </row>
    <row r="19">
      <c r="A19" s="1" t="s">
        <v>96</v>
      </c>
      <c r="B19" s="1" t="s">
        <v>334</v>
      </c>
      <c r="C19" s="1">
        <v>1.0</v>
      </c>
      <c r="D19" s="1"/>
      <c r="E19" s="1" t="s">
        <v>30</v>
      </c>
      <c r="F19" s="1" t="s">
        <v>811</v>
      </c>
      <c r="G19" s="4">
        <v>35553.0</v>
      </c>
      <c r="H19" s="1" t="s">
        <v>812</v>
      </c>
      <c r="I19" s="1" t="s">
        <v>813</v>
      </c>
      <c r="J19" s="22">
        <v>263888.0</v>
      </c>
      <c r="K19" s="4">
        <v>45607.0</v>
      </c>
      <c r="L19" s="1" t="s">
        <v>470</v>
      </c>
      <c r="M19" s="1" t="s">
        <v>471</v>
      </c>
      <c r="N19" s="1" t="s">
        <v>472</v>
      </c>
    </row>
    <row r="20">
      <c r="A20" s="1" t="s">
        <v>116</v>
      </c>
      <c r="B20" s="1" t="s">
        <v>334</v>
      </c>
      <c r="C20" s="1">
        <v>1.0</v>
      </c>
      <c r="D20" s="1"/>
      <c r="E20" s="1" t="s">
        <v>30</v>
      </c>
      <c r="F20" s="1" t="s">
        <v>814</v>
      </c>
      <c r="G20" s="4">
        <v>34850.0</v>
      </c>
      <c r="H20" s="1" t="s">
        <v>815</v>
      </c>
      <c r="I20" s="1" t="s">
        <v>816</v>
      </c>
      <c r="J20" s="1" t="s">
        <v>817</v>
      </c>
      <c r="K20" s="4">
        <v>45607.0</v>
      </c>
      <c r="L20" s="1" t="s">
        <v>475</v>
      </c>
      <c r="M20" s="1" t="s">
        <v>476</v>
      </c>
      <c r="N20" s="1" t="s">
        <v>477</v>
      </c>
    </row>
    <row r="21">
      <c r="A21" s="1" t="s">
        <v>106</v>
      </c>
      <c r="B21" s="1" t="s">
        <v>334</v>
      </c>
      <c r="C21" s="1">
        <v>1.0</v>
      </c>
      <c r="D21" s="1"/>
      <c r="E21" s="1" t="s">
        <v>30</v>
      </c>
      <c r="F21" s="1" t="s">
        <v>818</v>
      </c>
      <c r="G21" s="4">
        <v>38805.0</v>
      </c>
      <c r="H21" s="1" t="s">
        <v>819</v>
      </c>
      <c r="I21" s="1" t="s">
        <v>820</v>
      </c>
      <c r="J21" s="1" t="s">
        <v>821</v>
      </c>
      <c r="K21" s="4">
        <v>45607.0</v>
      </c>
      <c r="L21" s="1" t="s">
        <v>481</v>
      </c>
      <c r="M21" s="1" t="s">
        <v>482</v>
      </c>
      <c r="N21" s="1" t="s">
        <v>483</v>
      </c>
    </row>
    <row r="22">
      <c r="A22" s="1" t="s">
        <v>111</v>
      </c>
      <c r="B22" s="1" t="s">
        <v>334</v>
      </c>
      <c r="C22" s="1">
        <v>1.0</v>
      </c>
      <c r="D22" s="1"/>
      <c r="E22" s="1" t="s">
        <v>30</v>
      </c>
      <c r="F22" s="1" t="s">
        <v>822</v>
      </c>
      <c r="G22" s="4">
        <v>35909.0</v>
      </c>
      <c r="H22" s="1" t="s">
        <v>823</v>
      </c>
      <c r="I22" s="1" t="s">
        <v>824</v>
      </c>
      <c r="J22" s="23">
        <v>172578.0</v>
      </c>
      <c r="K22" s="4">
        <v>45607.0</v>
      </c>
      <c r="L22" s="1" t="s">
        <v>486</v>
      </c>
      <c r="M22" s="1" t="s">
        <v>487</v>
      </c>
      <c r="N22" s="23">
        <v>178056.0</v>
      </c>
    </row>
    <row r="23">
      <c r="A23" s="1" t="s">
        <v>488</v>
      </c>
      <c r="B23" s="1" t="s">
        <v>389</v>
      </c>
      <c r="C23" s="1">
        <v>1.0</v>
      </c>
      <c r="D23" s="1"/>
      <c r="E23" s="1" t="s">
        <v>127</v>
      </c>
      <c r="F23" s="1" t="s">
        <v>488</v>
      </c>
      <c r="G23" s="4">
        <v>45202.0</v>
      </c>
      <c r="H23" s="1" t="s">
        <v>489</v>
      </c>
      <c r="I23" s="1" t="s">
        <v>490</v>
      </c>
      <c r="J23" s="1" t="s">
        <v>491</v>
      </c>
      <c r="K23" s="4">
        <v>45607.0</v>
      </c>
      <c r="L23" s="1" t="s">
        <v>492</v>
      </c>
      <c r="M23" s="1" t="s">
        <v>493</v>
      </c>
      <c r="N23" s="1" t="s">
        <v>494</v>
      </c>
    </row>
    <row r="24">
      <c r="A24" s="1" t="s">
        <v>245</v>
      </c>
      <c r="B24" s="1" t="s">
        <v>389</v>
      </c>
      <c r="C24" s="1">
        <v>0.0</v>
      </c>
      <c r="D24" s="1">
        <v>1.0</v>
      </c>
      <c r="E24" s="1" t="s">
        <v>22</v>
      </c>
      <c r="F24" s="1" t="s">
        <v>245</v>
      </c>
      <c r="G24" s="4">
        <v>41848.0</v>
      </c>
      <c r="H24" s="1" t="s">
        <v>495</v>
      </c>
      <c r="I24" s="1" t="s">
        <v>496</v>
      </c>
      <c r="J24" s="1" t="s">
        <v>497</v>
      </c>
      <c r="K24" s="4">
        <v>45607.0</v>
      </c>
      <c r="L24" s="1" t="s">
        <v>498</v>
      </c>
      <c r="M24" s="1" t="s">
        <v>499</v>
      </c>
      <c r="N24" s="1" t="s">
        <v>500</v>
      </c>
    </row>
    <row r="25">
      <c r="A25" s="1" t="s">
        <v>270</v>
      </c>
      <c r="B25" s="1" t="s">
        <v>389</v>
      </c>
      <c r="C25" s="1">
        <v>1.0</v>
      </c>
      <c r="D25" s="1"/>
      <c r="E25" s="1" t="s">
        <v>30</v>
      </c>
      <c r="F25" s="1" t="s">
        <v>270</v>
      </c>
      <c r="G25" s="4">
        <v>39314.0</v>
      </c>
      <c r="H25" s="1" t="s">
        <v>501</v>
      </c>
      <c r="I25" s="1" t="s">
        <v>502</v>
      </c>
      <c r="J25" s="1" t="s">
        <v>503</v>
      </c>
      <c r="K25" s="4">
        <v>45607.0</v>
      </c>
      <c r="L25" s="1" t="s">
        <v>504</v>
      </c>
      <c r="M25" s="1" t="s">
        <v>505</v>
      </c>
      <c r="N25" s="1" t="s">
        <v>506</v>
      </c>
    </row>
    <row r="26">
      <c r="A26" s="1" t="s">
        <v>208</v>
      </c>
      <c r="B26" s="1" t="s">
        <v>389</v>
      </c>
      <c r="C26" s="1">
        <v>0.0</v>
      </c>
      <c r="D26" s="1">
        <v>1.0</v>
      </c>
      <c r="E26" s="1" t="s">
        <v>30</v>
      </c>
      <c r="F26" s="1" t="s">
        <v>208</v>
      </c>
      <c r="G26" s="4">
        <v>40384.0</v>
      </c>
      <c r="H26" s="1" t="s">
        <v>507</v>
      </c>
      <c r="I26" s="1" t="s">
        <v>508</v>
      </c>
      <c r="J26" s="1" t="s">
        <v>509</v>
      </c>
      <c r="K26" s="4">
        <v>41845.0</v>
      </c>
      <c r="L26" s="1" t="s">
        <v>510</v>
      </c>
      <c r="M26" s="1" t="s">
        <v>511</v>
      </c>
      <c r="N26" s="1" t="s">
        <v>512</v>
      </c>
    </row>
    <row r="27">
      <c r="A27" s="1" t="s">
        <v>513</v>
      </c>
      <c r="B27" s="1" t="s">
        <v>389</v>
      </c>
      <c r="C27" s="1">
        <v>1.0</v>
      </c>
      <c r="D27" s="1"/>
      <c r="E27" s="1" t="s">
        <v>127</v>
      </c>
      <c r="F27" s="1" t="s">
        <v>513</v>
      </c>
      <c r="G27" s="4">
        <v>45602.0</v>
      </c>
      <c r="H27" s="1" t="s">
        <v>514</v>
      </c>
      <c r="I27" s="1" t="s">
        <v>515</v>
      </c>
      <c r="J27" s="1" t="s">
        <v>516</v>
      </c>
      <c r="K27" s="4">
        <v>45607.0</v>
      </c>
      <c r="L27" s="1" t="s">
        <v>517</v>
      </c>
      <c r="M27" s="1" t="s">
        <v>518</v>
      </c>
      <c r="N27" s="1" t="s">
        <v>519</v>
      </c>
    </row>
    <row r="28">
      <c r="A28" s="1" t="s">
        <v>179</v>
      </c>
      <c r="B28" s="1" t="s">
        <v>389</v>
      </c>
      <c r="C28" s="1">
        <v>1.0</v>
      </c>
      <c r="D28" s="1"/>
      <c r="E28" s="1" t="s">
        <v>30</v>
      </c>
      <c r="F28" s="1" t="s">
        <v>825</v>
      </c>
      <c r="G28" s="4">
        <v>39314.0</v>
      </c>
      <c r="H28" s="1" t="s">
        <v>520</v>
      </c>
      <c r="I28" s="1" t="s">
        <v>521</v>
      </c>
      <c r="J28" s="23" t="s">
        <v>522</v>
      </c>
      <c r="K28" s="4">
        <v>45607.0</v>
      </c>
      <c r="L28" s="1" t="s">
        <v>529</v>
      </c>
      <c r="M28" s="1" t="s">
        <v>530</v>
      </c>
      <c r="N28" s="1" t="s">
        <v>531</v>
      </c>
    </row>
    <row r="29">
      <c r="A29" s="1" t="s">
        <v>194</v>
      </c>
      <c r="B29" s="1" t="s">
        <v>389</v>
      </c>
      <c r="C29" s="1">
        <v>1.0</v>
      </c>
      <c r="D29" s="1"/>
      <c r="E29" s="1" t="s">
        <v>30</v>
      </c>
      <c r="F29" s="1" t="s">
        <v>194</v>
      </c>
      <c r="G29" s="4">
        <v>41141.0</v>
      </c>
      <c r="H29" s="1" t="s">
        <v>532</v>
      </c>
      <c r="I29" s="1" t="s">
        <v>533</v>
      </c>
      <c r="J29" s="1" t="s">
        <v>534</v>
      </c>
      <c r="K29" s="4">
        <v>42240.0</v>
      </c>
      <c r="L29" s="1" t="s">
        <v>535</v>
      </c>
      <c r="M29" s="1" t="s">
        <v>536</v>
      </c>
      <c r="N29" s="1" t="s">
        <v>537</v>
      </c>
    </row>
    <row r="30">
      <c r="A30" s="1" t="s">
        <v>300</v>
      </c>
      <c r="B30" s="1" t="s">
        <v>389</v>
      </c>
      <c r="C30" s="1">
        <v>1.0</v>
      </c>
      <c r="D30" s="1"/>
      <c r="E30" s="1" t="s">
        <v>30</v>
      </c>
      <c r="F30" s="1" t="s">
        <v>826</v>
      </c>
      <c r="G30" s="4">
        <v>39318.0</v>
      </c>
      <c r="H30" s="1" t="s">
        <v>538</v>
      </c>
      <c r="I30" s="1" t="s">
        <v>539</v>
      </c>
      <c r="J30" s="1" t="s">
        <v>540</v>
      </c>
      <c r="K30" s="4">
        <v>45607.0</v>
      </c>
      <c r="L30" s="1" t="s">
        <v>547</v>
      </c>
      <c r="M30" s="1" t="s">
        <v>548</v>
      </c>
      <c r="N30" s="1" t="s">
        <v>549</v>
      </c>
    </row>
    <row r="31">
      <c r="A31" s="1" t="s">
        <v>65</v>
      </c>
      <c r="B31" s="1" t="s">
        <v>389</v>
      </c>
      <c r="C31" s="1">
        <v>1.0</v>
      </c>
      <c r="D31" s="1"/>
      <c r="E31" s="1" t="s">
        <v>30</v>
      </c>
      <c r="F31" s="1" t="s">
        <v>827</v>
      </c>
      <c r="G31" s="4">
        <v>42593.0</v>
      </c>
      <c r="H31" s="1" t="s">
        <v>550</v>
      </c>
      <c r="I31" s="1" t="s">
        <v>551</v>
      </c>
      <c r="J31" s="1" t="s">
        <v>552</v>
      </c>
      <c r="K31" s="4">
        <v>45607.0</v>
      </c>
      <c r="L31" s="1" t="s">
        <v>560</v>
      </c>
      <c r="M31" s="1" t="s">
        <v>561</v>
      </c>
      <c r="N31" s="1" t="s">
        <v>562</v>
      </c>
    </row>
    <row r="32">
      <c r="A32" s="1" t="s">
        <v>211</v>
      </c>
      <c r="B32" s="1" t="s">
        <v>389</v>
      </c>
      <c r="C32" s="1">
        <v>1.0</v>
      </c>
      <c r="D32" s="1"/>
      <c r="E32" s="1" t="s">
        <v>30</v>
      </c>
      <c r="F32" s="1" t="s">
        <v>828</v>
      </c>
      <c r="G32" s="4">
        <v>39667.0</v>
      </c>
      <c r="H32" s="1" t="s">
        <v>563</v>
      </c>
      <c r="I32" s="1" t="s">
        <v>564</v>
      </c>
      <c r="J32" s="1" t="s">
        <v>565</v>
      </c>
      <c r="K32" s="4">
        <v>45607.0</v>
      </c>
      <c r="L32" s="1" t="s">
        <v>572</v>
      </c>
      <c r="M32" s="1" t="s">
        <v>573</v>
      </c>
      <c r="N32" s="1" t="s">
        <v>574</v>
      </c>
    </row>
    <row r="33">
      <c r="A33" s="1" t="s">
        <v>276</v>
      </c>
      <c r="B33" s="1" t="s">
        <v>389</v>
      </c>
      <c r="C33" s="1">
        <v>1.0</v>
      </c>
      <c r="D33" s="1"/>
      <c r="E33" s="1" t="s">
        <v>30</v>
      </c>
      <c r="F33" s="1" t="s">
        <v>829</v>
      </c>
      <c r="G33" s="4">
        <v>39651.0</v>
      </c>
      <c r="H33" s="1" t="s">
        <v>582</v>
      </c>
      <c r="I33" s="1" t="s">
        <v>583</v>
      </c>
      <c r="J33" s="1" t="s">
        <v>584</v>
      </c>
      <c r="K33" s="4">
        <v>45607.0</v>
      </c>
      <c r="L33" s="1" t="s">
        <v>592</v>
      </c>
      <c r="M33" s="1" t="s">
        <v>593</v>
      </c>
      <c r="N33" s="1" t="s">
        <v>594</v>
      </c>
    </row>
    <row r="34">
      <c r="A34" s="1" t="s">
        <v>197</v>
      </c>
      <c r="B34" s="1" t="s">
        <v>389</v>
      </c>
      <c r="C34" s="1">
        <v>1.0</v>
      </c>
      <c r="D34" s="1"/>
      <c r="E34" s="1" t="s">
        <v>30</v>
      </c>
      <c r="F34" s="1" t="s">
        <v>830</v>
      </c>
      <c r="G34" s="4">
        <v>39650.0</v>
      </c>
      <c r="H34" s="1" t="s">
        <v>595</v>
      </c>
      <c r="I34" s="1" t="s">
        <v>596</v>
      </c>
      <c r="J34" s="1" t="s">
        <v>597</v>
      </c>
      <c r="K34" s="4">
        <v>45607.0</v>
      </c>
      <c r="L34" s="1" t="s">
        <v>605</v>
      </c>
      <c r="M34" s="1" t="s">
        <v>606</v>
      </c>
      <c r="N34" s="1" t="s">
        <v>607</v>
      </c>
    </row>
    <row r="35">
      <c r="A35" s="1" t="s">
        <v>101</v>
      </c>
      <c r="B35" s="1" t="s">
        <v>334</v>
      </c>
      <c r="C35" s="1">
        <v>1.0</v>
      </c>
      <c r="D35" s="1"/>
      <c r="E35" s="1" t="s">
        <v>30</v>
      </c>
      <c r="F35" s="1" t="s">
        <v>831</v>
      </c>
      <c r="G35" s="4">
        <v>35540.0</v>
      </c>
      <c r="H35" s="1" t="s">
        <v>832</v>
      </c>
      <c r="I35" s="1" t="s">
        <v>103</v>
      </c>
      <c r="J35" s="1" t="s">
        <v>833</v>
      </c>
      <c r="K35" s="4">
        <v>45607.0</v>
      </c>
      <c r="L35" s="1" t="s">
        <v>610</v>
      </c>
      <c r="M35" s="1" t="s">
        <v>611</v>
      </c>
      <c r="N35" s="1" t="s">
        <v>612</v>
      </c>
    </row>
    <row r="36">
      <c r="A36" s="1" t="s">
        <v>91</v>
      </c>
      <c r="B36" s="1" t="s">
        <v>334</v>
      </c>
      <c r="C36" s="1">
        <v>1.0</v>
      </c>
      <c r="D36" s="1"/>
      <c r="E36" s="1" t="s">
        <v>30</v>
      </c>
      <c r="F36" s="1" t="s">
        <v>834</v>
      </c>
      <c r="G36" s="4">
        <v>35543.0</v>
      </c>
      <c r="H36" s="1" t="s">
        <v>835</v>
      </c>
      <c r="I36" s="1" t="s">
        <v>836</v>
      </c>
      <c r="J36" s="1" t="s">
        <v>837</v>
      </c>
      <c r="K36" s="4">
        <v>45607.0</v>
      </c>
      <c r="L36" s="1" t="s">
        <v>616</v>
      </c>
      <c r="M36" s="1" t="s">
        <v>617</v>
      </c>
      <c r="N36" s="1" t="s">
        <v>618</v>
      </c>
    </row>
    <row r="37">
      <c r="A37" s="1" t="s">
        <v>619</v>
      </c>
      <c r="B37" s="1" t="s">
        <v>389</v>
      </c>
      <c r="D37" s="1"/>
      <c r="E37" s="1" t="s">
        <v>620</v>
      </c>
      <c r="F37" s="1" t="s">
        <v>619</v>
      </c>
      <c r="G37" s="4">
        <v>45487.0</v>
      </c>
      <c r="H37" s="1" t="s">
        <v>621</v>
      </c>
      <c r="I37" s="1" t="s">
        <v>622</v>
      </c>
      <c r="J37" s="1" t="s">
        <v>623</v>
      </c>
      <c r="K37" s="4">
        <v>45607.0</v>
      </c>
      <c r="L37" s="1" t="s">
        <v>624</v>
      </c>
      <c r="M37" s="1" t="s">
        <v>625</v>
      </c>
      <c r="N37" s="1" t="s">
        <v>626</v>
      </c>
    </row>
    <row r="38">
      <c r="A38" s="1" t="s">
        <v>188</v>
      </c>
      <c r="B38" s="1" t="s">
        <v>334</v>
      </c>
      <c r="C38" s="1">
        <v>1.0</v>
      </c>
      <c r="D38" s="1"/>
      <c r="E38" s="1" t="s">
        <v>30</v>
      </c>
      <c r="F38" s="1" t="s">
        <v>838</v>
      </c>
      <c r="G38" s="4">
        <v>33025.0</v>
      </c>
      <c r="H38" s="1" t="s">
        <v>839</v>
      </c>
      <c r="I38" s="1" t="s">
        <v>840</v>
      </c>
      <c r="J38" s="1" t="s">
        <v>841</v>
      </c>
      <c r="K38" s="4">
        <v>45607.0</v>
      </c>
      <c r="L38" s="1" t="s">
        <v>636</v>
      </c>
      <c r="M38" s="1" t="s">
        <v>637</v>
      </c>
      <c r="N38" s="1" t="s">
        <v>638</v>
      </c>
    </row>
    <row r="39">
      <c r="A39" s="1" t="s">
        <v>221</v>
      </c>
      <c r="B39" s="1" t="s">
        <v>389</v>
      </c>
      <c r="C39" s="1">
        <v>1.0</v>
      </c>
      <c r="D39" s="1"/>
      <c r="E39" s="1" t="s">
        <v>30</v>
      </c>
      <c r="F39" s="1" t="s">
        <v>842</v>
      </c>
      <c r="G39" s="4">
        <v>41514.0</v>
      </c>
      <c r="H39" s="1" t="s">
        <v>639</v>
      </c>
      <c r="I39" s="1" t="s">
        <v>640</v>
      </c>
      <c r="J39" s="1" t="s">
        <v>641</v>
      </c>
      <c r="K39" s="4">
        <v>45607.0</v>
      </c>
      <c r="L39" s="1" t="s">
        <v>649</v>
      </c>
      <c r="M39" s="1" t="s">
        <v>650</v>
      </c>
      <c r="N39" s="1" t="s">
        <v>651</v>
      </c>
    </row>
    <row r="40">
      <c r="A40" s="1" t="s">
        <v>310</v>
      </c>
      <c r="B40" s="1" t="s">
        <v>389</v>
      </c>
      <c r="C40" s="1">
        <v>1.0</v>
      </c>
      <c r="D40" s="1"/>
      <c r="E40" s="1" t="s">
        <v>30</v>
      </c>
      <c r="F40" s="1" t="s">
        <v>310</v>
      </c>
      <c r="G40" s="4">
        <v>39317.0</v>
      </c>
      <c r="H40" s="1" t="s">
        <v>652</v>
      </c>
      <c r="I40" s="1" t="s">
        <v>653</v>
      </c>
      <c r="J40" s="1" t="s">
        <v>654</v>
      </c>
      <c r="K40" s="4">
        <v>45607.0</v>
      </c>
      <c r="L40" s="1" t="s">
        <v>655</v>
      </c>
      <c r="M40" s="1" t="s">
        <v>656</v>
      </c>
      <c r="N40" s="1" t="s">
        <v>657</v>
      </c>
    </row>
    <row r="41">
      <c r="A41" s="1" t="s">
        <v>257</v>
      </c>
      <c r="B41" s="1" t="s">
        <v>389</v>
      </c>
      <c r="C41" s="1">
        <v>0.0</v>
      </c>
      <c r="E41" s="1" t="s">
        <v>30</v>
      </c>
      <c r="F41" s="1" t="s">
        <v>257</v>
      </c>
      <c r="G41" s="4">
        <v>39518.0</v>
      </c>
      <c r="H41" s="1" t="s">
        <v>658</v>
      </c>
      <c r="I41" s="1" t="s">
        <v>659</v>
      </c>
      <c r="J41" s="1" t="s">
        <v>660</v>
      </c>
      <c r="K41" s="4">
        <v>42229.0</v>
      </c>
      <c r="L41" s="1" t="s">
        <v>661</v>
      </c>
      <c r="M41" s="1" t="s">
        <v>662</v>
      </c>
      <c r="N41" s="1" t="s">
        <v>663</v>
      </c>
    </row>
    <row r="42">
      <c r="A42" s="1" t="s">
        <v>260</v>
      </c>
      <c r="B42" s="1" t="s">
        <v>389</v>
      </c>
      <c r="C42" s="1">
        <v>1.0</v>
      </c>
      <c r="D42" s="1"/>
      <c r="E42" s="1" t="s">
        <v>30</v>
      </c>
      <c r="F42" s="1" t="s">
        <v>260</v>
      </c>
      <c r="G42" s="4">
        <v>40399.0</v>
      </c>
      <c r="H42" s="1" t="s">
        <v>664</v>
      </c>
      <c r="I42" s="1" t="s">
        <v>665</v>
      </c>
      <c r="J42" s="1" t="s">
        <v>666</v>
      </c>
      <c r="K42" s="4">
        <v>45607.0</v>
      </c>
      <c r="L42" s="1" t="s">
        <v>667</v>
      </c>
      <c r="M42" s="1" t="s">
        <v>668</v>
      </c>
      <c r="N42" s="1" t="s">
        <v>669</v>
      </c>
    </row>
    <row r="43">
      <c r="A43" s="1" t="s">
        <v>266</v>
      </c>
      <c r="B43" s="1" t="s">
        <v>389</v>
      </c>
      <c r="C43" s="1">
        <v>1.0</v>
      </c>
      <c r="D43" s="1"/>
      <c r="E43" s="1" t="s">
        <v>30</v>
      </c>
      <c r="F43" s="1" t="s">
        <v>266</v>
      </c>
      <c r="G43" s="4">
        <v>44697.0</v>
      </c>
      <c r="H43" s="1" t="s">
        <v>670</v>
      </c>
      <c r="I43" s="1" t="s">
        <v>671</v>
      </c>
      <c r="J43" s="1" t="s">
        <v>672</v>
      </c>
      <c r="K43" s="4">
        <v>45607.0</v>
      </c>
      <c r="L43" s="1" t="s">
        <v>673</v>
      </c>
      <c r="M43" s="1" t="s">
        <v>674</v>
      </c>
      <c r="N43" s="1" t="s">
        <v>675</v>
      </c>
    </row>
    <row r="44">
      <c r="A44" s="1" t="s">
        <v>235</v>
      </c>
      <c r="B44" s="1" t="s">
        <v>389</v>
      </c>
      <c r="C44" s="1">
        <v>1.0</v>
      </c>
      <c r="D44" s="1"/>
      <c r="E44" s="1" t="s">
        <v>30</v>
      </c>
      <c r="F44" s="1" t="s">
        <v>843</v>
      </c>
      <c r="G44" s="4">
        <v>40399.0</v>
      </c>
      <c r="H44" s="1" t="s">
        <v>676</v>
      </c>
      <c r="I44" s="1" t="s">
        <v>677</v>
      </c>
      <c r="J44" s="1" t="s">
        <v>678</v>
      </c>
      <c r="K44" s="4">
        <v>45607.0</v>
      </c>
      <c r="L44" s="1" t="s">
        <v>692</v>
      </c>
      <c r="M44" s="1" t="s">
        <v>693</v>
      </c>
      <c r="N44" s="1" t="s">
        <v>694</v>
      </c>
    </row>
    <row r="45">
      <c r="A45" s="1" t="s">
        <v>85</v>
      </c>
      <c r="B45" s="1" t="s">
        <v>334</v>
      </c>
      <c r="C45" s="1">
        <v>1.0</v>
      </c>
      <c r="D45" s="1"/>
      <c r="E45" s="1" t="s">
        <v>30</v>
      </c>
      <c r="F45" s="1" t="s">
        <v>844</v>
      </c>
      <c r="G45" s="4">
        <v>35201.0</v>
      </c>
      <c r="H45" s="1" t="s">
        <v>845</v>
      </c>
      <c r="I45" s="1" t="s">
        <v>846</v>
      </c>
      <c r="J45" s="23">
        <v>63767.0</v>
      </c>
      <c r="K45" s="4">
        <v>45607.0</v>
      </c>
      <c r="L45" s="1" t="s">
        <v>698</v>
      </c>
      <c r="M45" s="1" t="s">
        <v>699</v>
      </c>
      <c r="N45" s="1" t="s">
        <v>700</v>
      </c>
    </row>
    <row r="46">
      <c r="A46" s="1" t="s">
        <v>316</v>
      </c>
      <c r="B46" s="1" t="s">
        <v>389</v>
      </c>
      <c r="C46" s="1">
        <v>1.0</v>
      </c>
      <c r="D46" s="1"/>
      <c r="E46" s="1" t="s">
        <v>30</v>
      </c>
      <c r="F46" s="1" t="s">
        <v>316</v>
      </c>
      <c r="G46" s="4">
        <v>40042.0</v>
      </c>
      <c r="H46" s="1" t="s">
        <v>701</v>
      </c>
      <c r="I46" s="1" t="s">
        <v>702</v>
      </c>
      <c r="J46" s="1" t="s">
        <v>703</v>
      </c>
      <c r="K46" s="4">
        <v>45607.0</v>
      </c>
      <c r="L46" s="1" t="s">
        <v>704</v>
      </c>
      <c r="M46" s="1" t="s">
        <v>705</v>
      </c>
      <c r="N46" s="1" t="s">
        <v>706</v>
      </c>
    </row>
    <row r="47">
      <c r="A47" s="1" t="s">
        <v>202</v>
      </c>
      <c r="B47" s="1" t="s">
        <v>389</v>
      </c>
      <c r="C47" s="1">
        <v>1.0</v>
      </c>
      <c r="D47" s="1"/>
      <c r="E47" s="1" t="s">
        <v>30</v>
      </c>
      <c r="F47" s="1" t="s">
        <v>202</v>
      </c>
      <c r="G47" s="4">
        <v>40043.0</v>
      </c>
      <c r="H47" s="1" t="s">
        <v>707</v>
      </c>
      <c r="I47" s="1" t="s">
        <v>708</v>
      </c>
      <c r="J47" s="1" t="s">
        <v>709</v>
      </c>
      <c r="K47" s="4">
        <v>45607.0</v>
      </c>
      <c r="L47" s="1" t="s">
        <v>710</v>
      </c>
      <c r="M47" s="1" t="s">
        <v>711</v>
      </c>
      <c r="N47" s="1" t="s">
        <v>712</v>
      </c>
    </row>
    <row r="48">
      <c r="A48" s="1" t="s">
        <v>13</v>
      </c>
      <c r="B48" s="1" t="s">
        <v>13</v>
      </c>
      <c r="C48" s="1"/>
      <c r="E48" s="1" t="s">
        <v>15</v>
      </c>
      <c r="F48" s="1" t="s">
        <v>13</v>
      </c>
      <c r="G48" s="4">
        <v>43939.0</v>
      </c>
      <c r="H48" s="1" t="s">
        <v>713</v>
      </c>
      <c r="I48" s="1" t="s">
        <v>714</v>
      </c>
      <c r="J48" s="1" t="s">
        <v>715</v>
      </c>
      <c r="K48" s="4">
        <v>45606.0</v>
      </c>
      <c r="L48" s="1" t="s">
        <v>716</v>
      </c>
      <c r="M48" s="1" t="s">
        <v>717</v>
      </c>
      <c r="N48" s="1" t="s">
        <v>718</v>
      </c>
    </row>
    <row r="49">
      <c r="A49" s="1" t="s">
        <v>126</v>
      </c>
      <c r="B49" s="1" t="s">
        <v>719</v>
      </c>
      <c r="D49" s="1">
        <v>1.0</v>
      </c>
      <c r="E49" s="1" t="s">
        <v>127</v>
      </c>
      <c r="F49" s="1" t="s">
        <v>126</v>
      </c>
      <c r="G49" s="4">
        <v>44741.0</v>
      </c>
      <c r="H49" s="1" t="s">
        <v>720</v>
      </c>
      <c r="I49" s="1" t="s">
        <v>721</v>
      </c>
      <c r="J49" s="1" t="s">
        <v>722</v>
      </c>
      <c r="K49" s="4">
        <v>45585.0</v>
      </c>
      <c r="L49" s="1" t="s">
        <v>723</v>
      </c>
      <c r="M49" s="1" t="s">
        <v>724</v>
      </c>
      <c r="N49" s="24">
        <v>45552.0</v>
      </c>
    </row>
    <row r="50">
      <c r="A50" s="1" t="s">
        <v>725</v>
      </c>
      <c r="B50" s="1" t="s">
        <v>719</v>
      </c>
      <c r="D50" s="1">
        <v>1.0</v>
      </c>
      <c r="E50" s="1" t="s">
        <v>30</v>
      </c>
      <c r="F50" s="1" t="s">
        <v>725</v>
      </c>
      <c r="G50" s="4">
        <v>44787.0</v>
      </c>
      <c r="H50" s="1" t="s">
        <v>726</v>
      </c>
      <c r="I50" s="1" t="s">
        <v>727</v>
      </c>
      <c r="J50" s="1" t="s">
        <v>728</v>
      </c>
      <c r="K50" s="4">
        <v>45607.0</v>
      </c>
      <c r="L50" s="1" t="s">
        <v>729</v>
      </c>
      <c r="M50" s="1" t="s">
        <v>730</v>
      </c>
      <c r="N50" s="1" t="s">
        <v>731</v>
      </c>
    </row>
    <row r="51">
      <c r="A51" s="1" t="s">
        <v>732</v>
      </c>
      <c r="B51" s="1" t="s">
        <v>733</v>
      </c>
      <c r="D51" s="1">
        <v>1.0</v>
      </c>
      <c r="E51" s="1" t="s">
        <v>22</v>
      </c>
      <c r="F51" s="1" t="s">
        <v>732</v>
      </c>
      <c r="G51" s="4">
        <v>45038.0</v>
      </c>
      <c r="H51" s="1" t="s">
        <v>734</v>
      </c>
      <c r="I51" s="1" t="s">
        <v>735</v>
      </c>
      <c r="J51" s="22" t="s">
        <v>736</v>
      </c>
      <c r="K51" s="4">
        <v>45447.0</v>
      </c>
      <c r="L51" s="1" t="s">
        <v>737</v>
      </c>
      <c r="M51" s="1" t="s">
        <v>738</v>
      </c>
      <c r="N51" s="1" t="s">
        <v>739</v>
      </c>
    </row>
    <row r="52">
      <c r="A52" s="1" t="s">
        <v>847</v>
      </c>
      <c r="B52" s="1" t="s">
        <v>733</v>
      </c>
      <c r="D52" s="1">
        <v>1.0</v>
      </c>
      <c r="E52" s="1" t="s">
        <v>22</v>
      </c>
      <c r="F52" s="1" t="s">
        <v>740</v>
      </c>
      <c r="G52" s="4">
        <v>44671.0</v>
      </c>
      <c r="H52" s="1" t="s">
        <v>741</v>
      </c>
      <c r="I52" s="1" t="s">
        <v>742</v>
      </c>
      <c r="J52" s="1" t="s">
        <v>743</v>
      </c>
      <c r="K52" s="4">
        <v>45607.0</v>
      </c>
      <c r="L52" s="1" t="s">
        <v>744</v>
      </c>
      <c r="M52" s="1" t="s">
        <v>745</v>
      </c>
      <c r="N52" s="1" t="s">
        <v>746</v>
      </c>
    </row>
    <row r="53">
      <c r="A53" s="1" t="s">
        <v>848</v>
      </c>
      <c r="B53" s="1" t="s">
        <v>733</v>
      </c>
      <c r="D53" s="1">
        <v>1.0</v>
      </c>
      <c r="E53" s="1" t="s">
        <v>22</v>
      </c>
      <c r="F53" s="1" t="s">
        <v>747</v>
      </c>
      <c r="G53" s="4">
        <v>44672.0</v>
      </c>
      <c r="H53" s="1" t="s">
        <v>748</v>
      </c>
      <c r="I53" s="1" t="s">
        <v>749</v>
      </c>
      <c r="J53" s="1" t="s">
        <v>750</v>
      </c>
      <c r="K53" s="4">
        <v>45501.0</v>
      </c>
      <c r="L53" s="1" t="s">
        <v>751</v>
      </c>
      <c r="M53" s="1" t="s">
        <v>752</v>
      </c>
      <c r="N53" s="1" t="s">
        <v>753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781</v>
      </c>
      <c r="B1" s="1" t="s">
        <v>323</v>
      </c>
      <c r="C1" s="1" t="s">
        <v>2</v>
      </c>
      <c r="D1" s="1" t="s">
        <v>782</v>
      </c>
      <c r="E1" s="1" t="s">
        <v>3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</row>
    <row r="2">
      <c r="A2" s="1" t="s">
        <v>783</v>
      </c>
      <c r="B2" s="1" t="s">
        <v>334</v>
      </c>
      <c r="C2" s="1" t="s">
        <v>30</v>
      </c>
      <c r="D2" s="1" t="s">
        <v>784</v>
      </c>
      <c r="E2" s="4">
        <v>34857.0</v>
      </c>
      <c r="F2" s="1" t="s">
        <v>785</v>
      </c>
      <c r="G2" s="1" t="s">
        <v>786</v>
      </c>
      <c r="H2" s="23" t="s">
        <v>787</v>
      </c>
      <c r="I2" s="4">
        <v>45616.0</v>
      </c>
      <c r="J2" s="1" t="s">
        <v>344</v>
      </c>
      <c r="K2" s="1" t="s">
        <v>849</v>
      </c>
      <c r="L2" s="1" t="s">
        <v>850</v>
      </c>
      <c r="M2" s="14" t="str">
        <f t="array" ref="M2:M8">UNIQUE(C:C)</f>
        <v>location_type</v>
      </c>
      <c r="N2" s="25">
        <f t="shared" ref="N2:N7" si="1">COUNTIF(C:C, M2)</f>
        <v>1</v>
      </c>
    </row>
    <row r="3">
      <c r="A3" s="1" t="s">
        <v>142</v>
      </c>
      <c r="B3" s="1" t="s">
        <v>334</v>
      </c>
      <c r="C3" s="1" t="s">
        <v>30</v>
      </c>
      <c r="D3" s="1" t="s">
        <v>788</v>
      </c>
      <c r="E3" s="4">
        <v>34842.0</v>
      </c>
      <c r="F3" s="1" t="s">
        <v>789</v>
      </c>
      <c r="G3" s="1" t="s">
        <v>790</v>
      </c>
      <c r="H3" s="1" t="s">
        <v>791</v>
      </c>
      <c r="I3" s="4">
        <v>45616.0</v>
      </c>
      <c r="J3" s="1" t="s">
        <v>851</v>
      </c>
      <c r="K3" s="1" t="s">
        <v>852</v>
      </c>
      <c r="L3" s="1" t="s">
        <v>352</v>
      </c>
      <c r="M3" s="8" t="s">
        <v>30</v>
      </c>
      <c r="N3" s="25">
        <f t="shared" si="1"/>
        <v>38</v>
      </c>
    </row>
    <row r="4">
      <c r="A4" s="1" t="s">
        <v>121</v>
      </c>
      <c r="B4" s="1" t="s">
        <v>334</v>
      </c>
      <c r="C4" s="1" t="s">
        <v>30</v>
      </c>
      <c r="D4" s="1" t="s">
        <v>792</v>
      </c>
      <c r="E4" s="4">
        <v>35209.0</v>
      </c>
      <c r="F4" s="1" t="s">
        <v>793</v>
      </c>
      <c r="G4" s="1" t="s">
        <v>794</v>
      </c>
      <c r="H4" s="1" t="s">
        <v>795</v>
      </c>
      <c r="I4" s="4">
        <v>45616.0</v>
      </c>
      <c r="J4" s="1" t="s">
        <v>853</v>
      </c>
      <c r="K4" s="1" t="s">
        <v>854</v>
      </c>
      <c r="L4" s="1" t="s">
        <v>855</v>
      </c>
      <c r="M4" s="8" t="s">
        <v>22</v>
      </c>
      <c r="N4" s="25">
        <f t="shared" si="1"/>
        <v>8</v>
      </c>
    </row>
    <row r="5">
      <c r="A5" s="1" t="s">
        <v>147</v>
      </c>
      <c r="B5" s="1" t="s">
        <v>334</v>
      </c>
      <c r="C5" s="1" t="s">
        <v>30</v>
      </c>
      <c r="D5" s="1" t="s">
        <v>796</v>
      </c>
      <c r="E5" s="4">
        <v>41776.0</v>
      </c>
      <c r="F5" s="1" t="s">
        <v>797</v>
      </c>
      <c r="G5" s="1" t="s">
        <v>798</v>
      </c>
      <c r="H5" s="22">
        <v>278802.0</v>
      </c>
      <c r="I5" s="4">
        <v>45616.0</v>
      </c>
      <c r="J5" s="1" t="s">
        <v>856</v>
      </c>
      <c r="K5" s="1" t="s">
        <v>857</v>
      </c>
      <c r="L5" s="1" t="s">
        <v>858</v>
      </c>
      <c r="M5" s="8" t="s">
        <v>127</v>
      </c>
      <c r="N5" s="25">
        <f t="shared" si="1"/>
        <v>4</v>
      </c>
    </row>
    <row r="6">
      <c r="A6" s="1" t="s">
        <v>364</v>
      </c>
      <c r="B6" s="1" t="s">
        <v>365</v>
      </c>
      <c r="C6" s="1" t="s">
        <v>22</v>
      </c>
      <c r="D6" s="1" t="s">
        <v>364</v>
      </c>
      <c r="E6" s="4">
        <v>44404.0</v>
      </c>
      <c r="F6" s="1" t="s">
        <v>366</v>
      </c>
      <c r="G6" s="1" t="s">
        <v>367</v>
      </c>
      <c r="H6" s="1" t="s">
        <v>859</v>
      </c>
      <c r="I6" s="4">
        <v>45616.0</v>
      </c>
      <c r="J6" s="1" t="s">
        <v>860</v>
      </c>
      <c r="K6" s="1" t="s">
        <v>861</v>
      </c>
      <c r="L6" s="1" t="s">
        <v>862</v>
      </c>
      <c r="M6" s="8" t="s">
        <v>15</v>
      </c>
      <c r="N6" s="25">
        <f t="shared" si="1"/>
        <v>2</v>
      </c>
    </row>
    <row r="7">
      <c r="A7" s="1" t="s">
        <v>137</v>
      </c>
      <c r="B7" s="1" t="s">
        <v>334</v>
      </c>
      <c r="C7" s="1" t="s">
        <v>30</v>
      </c>
      <c r="D7" s="1" t="s">
        <v>799</v>
      </c>
      <c r="E7" s="4">
        <v>34872.0</v>
      </c>
      <c r="F7" s="1" t="s">
        <v>800</v>
      </c>
      <c r="G7" s="1" t="s">
        <v>801</v>
      </c>
      <c r="H7" s="1" t="s">
        <v>802</v>
      </c>
      <c r="I7" s="4">
        <v>45616.0</v>
      </c>
      <c r="J7" s="1" t="s">
        <v>863</v>
      </c>
      <c r="K7" s="1" t="s">
        <v>864</v>
      </c>
      <c r="L7" s="1" t="s">
        <v>865</v>
      </c>
      <c r="M7" s="8" t="s">
        <v>620</v>
      </c>
      <c r="N7" s="25">
        <f t="shared" si="1"/>
        <v>1</v>
      </c>
    </row>
    <row r="8">
      <c r="A8" s="1" t="s">
        <v>37</v>
      </c>
      <c r="B8" s="1" t="s">
        <v>334</v>
      </c>
      <c r="C8" s="1" t="s">
        <v>30</v>
      </c>
      <c r="D8" s="1" t="s">
        <v>803</v>
      </c>
      <c r="E8" s="4">
        <v>35235.0</v>
      </c>
      <c r="F8" s="1" t="s">
        <v>804</v>
      </c>
      <c r="G8" s="1" t="s">
        <v>805</v>
      </c>
      <c r="H8" s="1" t="s">
        <v>806</v>
      </c>
      <c r="I8" s="4">
        <v>45616.0</v>
      </c>
      <c r="J8" s="1" t="s">
        <v>866</v>
      </c>
      <c r="K8" s="1" t="s">
        <v>867</v>
      </c>
      <c r="L8" s="1" t="s">
        <v>868</v>
      </c>
      <c r="M8" s="8"/>
    </row>
    <row r="9">
      <c r="A9" s="1" t="s">
        <v>297</v>
      </c>
      <c r="B9" s="1" t="s">
        <v>389</v>
      </c>
      <c r="C9" s="1" t="s">
        <v>127</v>
      </c>
      <c r="D9" s="1" t="s">
        <v>297</v>
      </c>
      <c r="E9" s="4">
        <v>40646.0</v>
      </c>
      <c r="F9" s="1" t="s">
        <v>390</v>
      </c>
      <c r="G9" s="1" t="s">
        <v>391</v>
      </c>
      <c r="H9" s="1" t="s">
        <v>392</v>
      </c>
      <c r="I9" s="4">
        <v>45616.0</v>
      </c>
      <c r="J9" s="1" t="s">
        <v>390</v>
      </c>
      <c r="K9" s="1" t="s">
        <v>391</v>
      </c>
      <c r="L9" s="1" t="s">
        <v>392</v>
      </c>
    </row>
    <row r="10">
      <c r="A10" s="1" t="s">
        <v>251</v>
      </c>
      <c r="B10" s="1" t="s">
        <v>389</v>
      </c>
      <c r="C10" s="1" t="s">
        <v>30</v>
      </c>
      <c r="D10" s="1" t="s">
        <v>807</v>
      </c>
      <c r="E10" s="4">
        <v>39692.0</v>
      </c>
      <c r="F10" s="1" t="s">
        <v>393</v>
      </c>
      <c r="G10" s="1" t="s">
        <v>394</v>
      </c>
      <c r="H10" s="1" t="s">
        <v>395</v>
      </c>
      <c r="I10" s="4">
        <v>45616.0</v>
      </c>
      <c r="J10" s="1" t="s">
        <v>869</v>
      </c>
      <c r="K10" s="1" t="s">
        <v>870</v>
      </c>
      <c r="L10" s="1" t="s">
        <v>871</v>
      </c>
    </row>
    <row r="11">
      <c r="A11" s="1" t="s">
        <v>167</v>
      </c>
      <c r="B11" s="1" t="s">
        <v>389</v>
      </c>
      <c r="C11" s="1" t="s">
        <v>30</v>
      </c>
      <c r="D11" s="1" t="s">
        <v>167</v>
      </c>
      <c r="E11" s="4">
        <v>39693.0</v>
      </c>
      <c r="F11" s="1" t="s">
        <v>406</v>
      </c>
      <c r="G11" s="1" t="s">
        <v>407</v>
      </c>
      <c r="H11" s="22" t="s">
        <v>408</v>
      </c>
      <c r="I11" s="4">
        <v>45616.0</v>
      </c>
      <c r="J11" s="1" t="s">
        <v>872</v>
      </c>
      <c r="K11" s="1" t="s">
        <v>873</v>
      </c>
      <c r="L11" s="1" t="s">
        <v>874</v>
      </c>
    </row>
    <row r="12">
      <c r="A12" s="1" t="s">
        <v>808</v>
      </c>
      <c r="B12" s="1" t="s">
        <v>389</v>
      </c>
      <c r="C12" s="1" t="s">
        <v>30</v>
      </c>
      <c r="D12" s="1" t="s">
        <v>412</v>
      </c>
      <c r="E12" s="4">
        <v>45430.0</v>
      </c>
      <c r="F12" s="1" t="s">
        <v>413</v>
      </c>
      <c r="G12" s="1" t="s">
        <v>875</v>
      </c>
      <c r="H12" s="1" t="s">
        <v>876</v>
      </c>
      <c r="I12" s="4">
        <v>45616.0</v>
      </c>
      <c r="J12" s="1" t="s">
        <v>877</v>
      </c>
      <c r="K12" s="1" t="s">
        <v>878</v>
      </c>
      <c r="L12" s="1" t="s">
        <v>879</v>
      </c>
    </row>
    <row r="13">
      <c r="A13" s="1" t="s">
        <v>162</v>
      </c>
      <c r="B13" s="1" t="s">
        <v>389</v>
      </c>
      <c r="C13" s="1" t="s">
        <v>30</v>
      </c>
      <c r="D13" s="1" t="s">
        <v>162</v>
      </c>
      <c r="E13" s="4">
        <v>39907.0</v>
      </c>
      <c r="F13" s="1" t="s">
        <v>419</v>
      </c>
      <c r="G13" s="1" t="s">
        <v>420</v>
      </c>
      <c r="H13" s="1" t="s">
        <v>421</v>
      </c>
      <c r="I13" s="4">
        <v>45616.0</v>
      </c>
      <c r="J13" s="1" t="s">
        <v>880</v>
      </c>
      <c r="K13" s="1" t="s">
        <v>881</v>
      </c>
      <c r="L13" s="1" t="s">
        <v>882</v>
      </c>
    </row>
    <row r="14">
      <c r="A14" s="1" t="s">
        <v>287</v>
      </c>
      <c r="B14" s="1" t="s">
        <v>389</v>
      </c>
      <c r="C14" s="1" t="s">
        <v>30</v>
      </c>
      <c r="D14" s="1" t="s">
        <v>809</v>
      </c>
      <c r="E14" s="4">
        <v>39646.0</v>
      </c>
      <c r="F14" s="1" t="s">
        <v>425</v>
      </c>
      <c r="G14" s="1" t="s">
        <v>426</v>
      </c>
      <c r="H14" s="1" t="s">
        <v>427</v>
      </c>
      <c r="I14" s="4">
        <v>44934.0</v>
      </c>
      <c r="J14" s="1" t="s">
        <v>434</v>
      </c>
      <c r="K14" s="1" t="s">
        <v>435</v>
      </c>
      <c r="L14" s="1" t="s">
        <v>436</v>
      </c>
    </row>
    <row r="15">
      <c r="A15" s="1" t="s">
        <v>226</v>
      </c>
      <c r="B15" s="1" t="s">
        <v>389</v>
      </c>
      <c r="C15" s="1" t="s">
        <v>30</v>
      </c>
      <c r="D15" s="1" t="s">
        <v>810</v>
      </c>
      <c r="E15" s="4">
        <v>39646.0</v>
      </c>
      <c r="F15" s="1" t="s">
        <v>437</v>
      </c>
      <c r="G15" s="1" t="s">
        <v>438</v>
      </c>
      <c r="H15" s="1" t="s">
        <v>439</v>
      </c>
      <c r="I15" s="4">
        <v>44946.0</v>
      </c>
      <c r="J15" s="1" t="s">
        <v>446</v>
      </c>
      <c r="K15" s="1" t="s">
        <v>234</v>
      </c>
      <c r="L15" s="1" t="s">
        <v>447</v>
      </c>
    </row>
    <row r="16">
      <c r="A16" s="1" t="s">
        <v>71</v>
      </c>
      <c r="B16" s="1" t="s">
        <v>448</v>
      </c>
      <c r="C16" s="1" t="s">
        <v>22</v>
      </c>
      <c r="D16" s="1" t="s">
        <v>71</v>
      </c>
      <c r="E16" s="4">
        <v>44440.0</v>
      </c>
      <c r="F16" s="1" t="s">
        <v>449</v>
      </c>
      <c r="G16" s="1" t="s">
        <v>450</v>
      </c>
      <c r="H16" s="1" t="s">
        <v>451</v>
      </c>
      <c r="I16" s="4">
        <v>45616.0</v>
      </c>
      <c r="J16" s="1" t="s">
        <v>452</v>
      </c>
      <c r="K16" s="1" t="s">
        <v>883</v>
      </c>
      <c r="L16" s="1" t="s">
        <v>884</v>
      </c>
    </row>
    <row r="17">
      <c r="A17" s="1" t="s">
        <v>21</v>
      </c>
      <c r="B17" s="1" t="s">
        <v>448</v>
      </c>
      <c r="C17" s="1" t="s">
        <v>22</v>
      </c>
      <c r="D17" s="1" t="s">
        <v>21</v>
      </c>
      <c r="E17" s="4">
        <v>44440.0</v>
      </c>
      <c r="F17" s="1" t="s">
        <v>455</v>
      </c>
      <c r="G17" s="1" t="s">
        <v>456</v>
      </c>
      <c r="H17" s="1" t="s">
        <v>457</v>
      </c>
      <c r="I17" s="4">
        <v>45401.0</v>
      </c>
      <c r="J17" s="1" t="s">
        <v>458</v>
      </c>
      <c r="K17" s="1" t="s">
        <v>459</v>
      </c>
      <c r="L17" s="1" t="s">
        <v>460</v>
      </c>
    </row>
    <row r="18">
      <c r="A18" s="1" t="s">
        <v>281</v>
      </c>
      <c r="B18" s="1" t="s">
        <v>389</v>
      </c>
      <c r="C18" s="1" t="s">
        <v>22</v>
      </c>
      <c r="D18" s="1" t="s">
        <v>281</v>
      </c>
      <c r="E18" s="4">
        <v>39937.0</v>
      </c>
      <c r="F18" s="1" t="s">
        <v>461</v>
      </c>
      <c r="G18" s="1" t="s">
        <v>462</v>
      </c>
      <c r="H18" s="1" t="s">
        <v>463</v>
      </c>
      <c r="I18" s="4">
        <v>45616.0</v>
      </c>
      <c r="J18" s="1" t="s">
        <v>885</v>
      </c>
      <c r="K18" s="1" t="s">
        <v>886</v>
      </c>
      <c r="L18" s="1" t="s">
        <v>887</v>
      </c>
    </row>
    <row r="19">
      <c r="A19" s="1" t="s">
        <v>96</v>
      </c>
      <c r="B19" s="1" t="s">
        <v>334</v>
      </c>
      <c r="C19" s="1" t="s">
        <v>30</v>
      </c>
      <c r="D19" s="1" t="s">
        <v>811</v>
      </c>
      <c r="E19" s="4">
        <v>35553.0</v>
      </c>
      <c r="F19" s="1" t="s">
        <v>812</v>
      </c>
      <c r="G19" s="1" t="s">
        <v>813</v>
      </c>
      <c r="H19" s="22">
        <v>263888.0</v>
      </c>
      <c r="I19" s="4">
        <v>45616.0</v>
      </c>
      <c r="J19" s="1" t="s">
        <v>888</v>
      </c>
      <c r="K19" s="1" t="s">
        <v>889</v>
      </c>
      <c r="L19" s="1" t="s">
        <v>890</v>
      </c>
    </row>
    <row r="20">
      <c r="A20" s="1" t="s">
        <v>116</v>
      </c>
      <c r="B20" s="1" t="s">
        <v>334</v>
      </c>
      <c r="C20" s="1" t="s">
        <v>30</v>
      </c>
      <c r="D20" s="1" t="s">
        <v>814</v>
      </c>
      <c r="E20" s="4">
        <v>34850.0</v>
      </c>
      <c r="F20" s="1" t="s">
        <v>815</v>
      </c>
      <c r="G20" s="1" t="s">
        <v>816</v>
      </c>
      <c r="H20" s="1" t="s">
        <v>817</v>
      </c>
      <c r="I20" s="4">
        <v>45616.0</v>
      </c>
      <c r="J20" s="1" t="s">
        <v>475</v>
      </c>
      <c r="K20" s="1" t="s">
        <v>891</v>
      </c>
      <c r="L20" s="23">
        <v>159672.0</v>
      </c>
    </row>
    <row r="21">
      <c r="A21" s="1" t="s">
        <v>106</v>
      </c>
      <c r="B21" s="1" t="s">
        <v>334</v>
      </c>
      <c r="C21" s="1" t="s">
        <v>30</v>
      </c>
      <c r="D21" s="1" t="s">
        <v>818</v>
      </c>
      <c r="E21" s="4">
        <v>38805.0</v>
      </c>
      <c r="F21" s="1" t="s">
        <v>819</v>
      </c>
      <c r="G21" s="1" t="s">
        <v>820</v>
      </c>
      <c r="H21" s="1" t="s">
        <v>821</v>
      </c>
      <c r="I21" s="4">
        <v>45616.0</v>
      </c>
      <c r="J21" s="1" t="s">
        <v>481</v>
      </c>
      <c r="K21" s="1" t="s">
        <v>892</v>
      </c>
      <c r="L21" s="1" t="s">
        <v>893</v>
      </c>
    </row>
    <row r="22">
      <c r="A22" s="1" t="s">
        <v>111</v>
      </c>
      <c r="B22" s="1" t="s">
        <v>334</v>
      </c>
      <c r="C22" s="1" t="s">
        <v>30</v>
      </c>
      <c r="D22" s="1" t="s">
        <v>822</v>
      </c>
      <c r="E22" s="4">
        <v>35909.0</v>
      </c>
      <c r="F22" s="1" t="s">
        <v>823</v>
      </c>
      <c r="G22" s="1" t="s">
        <v>824</v>
      </c>
      <c r="H22" s="23">
        <v>172578.0</v>
      </c>
      <c r="I22" s="4">
        <v>45616.0</v>
      </c>
      <c r="J22" s="1" t="s">
        <v>894</v>
      </c>
      <c r="K22" s="1" t="s">
        <v>895</v>
      </c>
      <c r="L22" s="22">
        <v>177722.0</v>
      </c>
    </row>
    <row r="23">
      <c r="A23" s="1" t="s">
        <v>488</v>
      </c>
      <c r="B23" s="1" t="s">
        <v>389</v>
      </c>
      <c r="C23" s="1" t="s">
        <v>127</v>
      </c>
      <c r="D23" s="1" t="s">
        <v>488</v>
      </c>
      <c r="E23" s="4">
        <v>45202.0</v>
      </c>
      <c r="F23" s="1" t="s">
        <v>896</v>
      </c>
      <c r="G23" s="1" t="s">
        <v>897</v>
      </c>
      <c r="H23" s="1" t="s">
        <v>898</v>
      </c>
      <c r="I23" s="4">
        <v>45616.0</v>
      </c>
      <c r="J23" s="1" t="s">
        <v>899</v>
      </c>
      <c r="K23" s="1" t="s">
        <v>900</v>
      </c>
      <c r="L23" s="1" t="s">
        <v>901</v>
      </c>
    </row>
    <row r="24">
      <c r="A24" s="1" t="s">
        <v>245</v>
      </c>
      <c r="B24" s="1" t="s">
        <v>389</v>
      </c>
      <c r="C24" s="1" t="s">
        <v>22</v>
      </c>
      <c r="D24" s="1" t="s">
        <v>245</v>
      </c>
      <c r="E24" s="4">
        <v>41848.0</v>
      </c>
      <c r="F24" s="1" t="s">
        <v>902</v>
      </c>
      <c r="G24" s="1" t="s">
        <v>903</v>
      </c>
      <c r="H24" s="1" t="s">
        <v>904</v>
      </c>
      <c r="I24" s="4">
        <v>45616.0</v>
      </c>
      <c r="J24" s="1" t="s">
        <v>905</v>
      </c>
      <c r="K24" s="1" t="s">
        <v>906</v>
      </c>
      <c r="L24" s="1" t="s">
        <v>907</v>
      </c>
    </row>
    <row r="25">
      <c r="A25" s="1" t="s">
        <v>270</v>
      </c>
      <c r="B25" s="1" t="s">
        <v>389</v>
      </c>
      <c r="C25" s="1" t="s">
        <v>30</v>
      </c>
      <c r="D25" s="1" t="s">
        <v>270</v>
      </c>
      <c r="E25" s="4">
        <v>39314.0</v>
      </c>
      <c r="F25" s="1" t="s">
        <v>501</v>
      </c>
      <c r="G25" s="1" t="s">
        <v>502</v>
      </c>
      <c r="H25" s="1" t="s">
        <v>503</v>
      </c>
      <c r="I25" s="4">
        <v>45616.0</v>
      </c>
      <c r="J25" s="1" t="s">
        <v>908</v>
      </c>
      <c r="K25" s="1" t="s">
        <v>909</v>
      </c>
      <c r="L25" s="1" t="s">
        <v>910</v>
      </c>
    </row>
    <row r="26">
      <c r="A26" s="1" t="s">
        <v>208</v>
      </c>
      <c r="B26" s="1" t="s">
        <v>389</v>
      </c>
      <c r="C26" s="1" t="s">
        <v>30</v>
      </c>
      <c r="D26" s="1" t="s">
        <v>208</v>
      </c>
      <c r="E26" s="4">
        <v>40384.0</v>
      </c>
      <c r="F26" s="1" t="s">
        <v>507</v>
      </c>
      <c r="G26" s="1" t="s">
        <v>508</v>
      </c>
      <c r="H26" s="1" t="s">
        <v>509</v>
      </c>
      <c r="I26" s="4">
        <v>41845.0</v>
      </c>
      <c r="J26" s="1" t="s">
        <v>510</v>
      </c>
      <c r="K26" s="1" t="s">
        <v>511</v>
      </c>
      <c r="L26" s="1" t="s">
        <v>512</v>
      </c>
    </row>
    <row r="27">
      <c r="A27" s="1" t="s">
        <v>513</v>
      </c>
      <c r="B27" s="1" t="s">
        <v>389</v>
      </c>
      <c r="C27" s="1" t="s">
        <v>127</v>
      </c>
      <c r="D27" s="1" t="s">
        <v>513</v>
      </c>
      <c r="E27" s="4">
        <v>45602.0</v>
      </c>
      <c r="F27" s="1" t="s">
        <v>911</v>
      </c>
      <c r="G27" s="1" t="s">
        <v>912</v>
      </c>
      <c r="H27" s="1" t="s">
        <v>913</v>
      </c>
      <c r="I27" s="4">
        <v>45616.0</v>
      </c>
      <c r="J27" s="1" t="s">
        <v>914</v>
      </c>
      <c r="K27" s="1" t="s">
        <v>915</v>
      </c>
      <c r="L27" s="1" t="s">
        <v>916</v>
      </c>
    </row>
    <row r="28">
      <c r="A28" s="1" t="s">
        <v>179</v>
      </c>
      <c r="B28" s="1" t="s">
        <v>389</v>
      </c>
      <c r="C28" s="1" t="s">
        <v>30</v>
      </c>
      <c r="D28" s="1" t="s">
        <v>825</v>
      </c>
      <c r="E28" s="4">
        <v>39314.0</v>
      </c>
      <c r="F28" s="1" t="s">
        <v>520</v>
      </c>
      <c r="G28" s="1" t="s">
        <v>521</v>
      </c>
      <c r="H28" s="23" t="s">
        <v>522</v>
      </c>
      <c r="I28" s="4">
        <v>45616.0</v>
      </c>
      <c r="J28" s="1" t="s">
        <v>917</v>
      </c>
      <c r="K28" s="1" t="s">
        <v>918</v>
      </c>
      <c r="L28" s="1" t="s">
        <v>919</v>
      </c>
    </row>
    <row r="29" hidden="1">
      <c r="A29" s="1" t="s">
        <v>920</v>
      </c>
      <c r="B29" s="1" t="s">
        <v>389</v>
      </c>
      <c r="C29" s="1" t="s">
        <v>15</v>
      </c>
      <c r="D29" s="1" t="s">
        <v>920</v>
      </c>
      <c r="E29" s="4">
        <v>45611.0</v>
      </c>
      <c r="F29" s="1" t="s">
        <v>921</v>
      </c>
      <c r="G29" s="1" t="s">
        <v>922</v>
      </c>
      <c r="H29" s="1" t="s">
        <v>923</v>
      </c>
      <c r="I29" s="4">
        <v>45616.0</v>
      </c>
      <c r="J29" s="1" t="s">
        <v>924</v>
      </c>
      <c r="K29" s="1" t="s">
        <v>925</v>
      </c>
      <c r="L29" s="1" t="s">
        <v>926</v>
      </c>
    </row>
    <row r="30">
      <c r="A30" s="1" t="s">
        <v>194</v>
      </c>
      <c r="B30" s="1" t="s">
        <v>389</v>
      </c>
      <c r="C30" s="1" t="s">
        <v>30</v>
      </c>
      <c r="D30" s="1" t="s">
        <v>194</v>
      </c>
      <c r="E30" s="4">
        <v>41141.0</v>
      </c>
      <c r="F30" s="1" t="s">
        <v>532</v>
      </c>
      <c r="G30" s="1" t="s">
        <v>533</v>
      </c>
      <c r="H30" s="1" t="s">
        <v>534</v>
      </c>
      <c r="I30" s="4">
        <v>42240.0</v>
      </c>
      <c r="J30" s="1" t="s">
        <v>535</v>
      </c>
      <c r="K30" s="1" t="s">
        <v>536</v>
      </c>
      <c r="L30" s="1" t="s">
        <v>537</v>
      </c>
    </row>
    <row r="31">
      <c r="A31" s="1" t="s">
        <v>300</v>
      </c>
      <c r="B31" s="1" t="s">
        <v>389</v>
      </c>
      <c r="C31" s="1" t="s">
        <v>30</v>
      </c>
      <c r="D31" s="1" t="s">
        <v>826</v>
      </c>
      <c r="E31" s="4">
        <v>39318.0</v>
      </c>
      <c r="F31" s="1" t="s">
        <v>538</v>
      </c>
      <c r="G31" s="1" t="s">
        <v>539</v>
      </c>
      <c r="H31" s="1" t="s">
        <v>540</v>
      </c>
      <c r="I31" s="4">
        <v>45616.0</v>
      </c>
      <c r="J31" s="1" t="s">
        <v>927</v>
      </c>
      <c r="K31" s="1" t="s">
        <v>928</v>
      </c>
      <c r="L31" s="1" t="s">
        <v>929</v>
      </c>
    </row>
    <row r="32">
      <c r="A32" s="1" t="s">
        <v>65</v>
      </c>
      <c r="B32" s="1" t="s">
        <v>389</v>
      </c>
      <c r="C32" s="1" t="s">
        <v>30</v>
      </c>
      <c r="D32" s="1" t="s">
        <v>827</v>
      </c>
      <c r="E32" s="4">
        <v>42593.0</v>
      </c>
      <c r="F32" s="1" t="s">
        <v>550</v>
      </c>
      <c r="G32" s="1" t="s">
        <v>551</v>
      </c>
      <c r="H32" s="1" t="s">
        <v>552</v>
      </c>
      <c r="I32" s="4">
        <v>45616.0</v>
      </c>
      <c r="J32" s="1" t="s">
        <v>930</v>
      </c>
      <c r="K32" s="1" t="s">
        <v>931</v>
      </c>
      <c r="L32" s="1" t="s">
        <v>932</v>
      </c>
    </row>
    <row r="33">
      <c r="A33" s="1" t="s">
        <v>211</v>
      </c>
      <c r="B33" s="1" t="s">
        <v>389</v>
      </c>
      <c r="C33" s="1" t="s">
        <v>30</v>
      </c>
      <c r="D33" s="1" t="s">
        <v>828</v>
      </c>
      <c r="E33" s="4">
        <v>39667.0</v>
      </c>
      <c r="F33" s="1" t="s">
        <v>563</v>
      </c>
      <c r="G33" s="1" t="s">
        <v>564</v>
      </c>
      <c r="H33" s="1" t="s">
        <v>565</v>
      </c>
      <c r="I33" s="4">
        <v>45616.0</v>
      </c>
      <c r="J33" s="1" t="s">
        <v>933</v>
      </c>
      <c r="K33" s="1" t="s">
        <v>934</v>
      </c>
      <c r="L33" s="1" t="s">
        <v>935</v>
      </c>
    </row>
    <row r="34">
      <c r="A34" s="1" t="s">
        <v>276</v>
      </c>
      <c r="B34" s="1" t="s">
        <v>389</v>
      </c>
      <c r="C34" s="1" t="s">
        <v>30</v>
      </c>
      <c r="D34" s="1" t="s">
        <v>829</v>
      </c>
      <c r="E34" s="4">
        <v>39651.0</v>
      </c>
      <c r="F34" s="1" t="s">
        <v>582</v>
      </c>
      <c r="G34" s="1" t="s">
        <v>583</v>
      </c>
      <c r="H34" s="1" t="s">
        <v>584</v>
      </c>
      <c r="I34" s="4">
        <v>45616.0</v>
      </c>
      <c r="J34" s="1" t="s">
        <v>936</v>
      </c>
      <c r="K34" s="1" t="s">
        <v>937</v>
      </c>
      <c r="L34" s="1" t="s">
        <v>938</v>
      </c>
    </row>
    <row r="35">
      <c r="A35" s="1" t="s">
        <v>197</v>
      </c>
      <c r="B35" s="1" t="s">
        <v>389</v>
      </c>
      <c r="C35" s="1" t="s">
        <v>30</v>
      </c>
      <c r="D35" s="1" t="s">
        <v>830</v>
      </c>
      <c r="E35" s="4">
        <v>39650.0</v>
      </c>
      <c r="F35" s="1" t="s">
        <v>595</v>
      </c>
      <c r="G35" s="1" t="s">
        <v>596</v>
      </c>
      <c r="H35" s="1" t="s">
        <v>597</v>
      </c>
      <c r="I35" s="4">
        <v>45616.0</v>
      </c>
      <c r="J35" s="1" t="s">
        <v>939</v>
      </c>
      <c r="K35" s="1" t="s">
        <v>940</v>
      </c>
      <c r="L35" s="1" t="s">
        <v>941</v>
      </c>
    </row>
    <row r="36">
      <c r="A36" s="1" t="s">
        <v>101</v>
      </c>
      <c r="B36" s="1" t="s">
        <v>334</v>
      </c>
      <c r="C36" s="1" t="s">
        <v>30</v>
      </c>
      <c r="D36" s="1" t="s">
        <v>831</v>
      </c>
      <c r="E36" s="4">
        <v>35540.0</v>
      </c>
      <c r="F36" s="1" t="s">
        <v>832</v>
      </c>
      <c r="G36" s="1" t="s">
        <v>103</v>
      </c>
      <c r="H36" s="1" t="s">
        <v>833</v>
      </c>
      <c r="I36" s="4">
        <v>45616.0</v>
      </c>
      <c r="J36" s="1" t="s">
        <v>942</v>
      </c>
      <c r="K36" s="1" t="s">
        <v>943</v>
      </c>
      <c r="L36" s="23">
        <v>210229.0</v>
      </c>
    </row>
    <row r="37">
      <c r="A37" s="1" t="s">
        <v>91</v>
      </c>
      <c r="B37" s="1" t="s">
        <v>334</v>
      </c>
      <c r="C37" s="1" t="s">
        <v>30</v>
      </c>
      <c r="D37" s="1" t="s">
        <v>834</v>
      </c>
      <c r="E37" s="4">
        <v>35543.0</v>
      </c>
      <c r="F37" s="1" t="s">
        <v>835</v>
      </c>
      <c r="G37" s="1" t="s">
        <v>836</v>
      </c>
      <c r="H37" s="1" t="s">
        <v>837</v>
      </c>
      <c r="I37" s="4">
        <v>45616.0</v>
      </c>
      <c r="J37" s="1" t="s">
        <v>944</v>
      </c>
      <c r="K37" s="1" t="s">
        <v>617</v>
      </c>
      <c r="L37" s="1" t="s">
        <v>945</v>
      </c>
    </row>
    <row r="38">
      <c r="A38" s="1" t="s">
        <v>619</v>
      </c>
      <c r="B38" s="1" t="s">
        <v>389</v>
      </c>
      <c r="C38" s="1" t="s">
        <v>620</v>
      </c>
      <c r="D38" s="1" t="s">
        <v>619</v>
      </c>
      <c r="E38" s="4">
        <v>45487.0</v>
      </c>
      <c r="F38" s="1" t="s">
        <v>621</v>
      </c>
      <c r="G38" s="1" t="s">
        <v>946</v>
      </c>
      <c r="H38" s="1" t="s">
        <v>947</v>
      </c>
      <c r="I38" s="4">
        <v>45616.0</v>
      </c>
      <c r="J38" s="1" t="s">
        <v>948</v>
      </c>
      <c r="K38" s="1" t="s">
        <v>625</v>
      </c>
      <c r="L38" s="24">
        <v>45563.0</v>
      </c>
    </row>
    <row r="39">
      <c r="A39" s="1" t="s">
        <v>188</v>
      </c>
      <c r="B39" s="1" t="s">
        <v>334</v>
      </c>
      <c r="C39" s="1" t="s">
        <v>30</v>
      </c>
      <c r="D39" s="1" t="s">
        <v>838</v>
      </c>
      <c r="E39" s="4">
        <v>33025.0</v>
      </c>
      <c r="F39" s="1" t="s">
        <v>839</v>
      </c>
      <c r="G39" s="1" t="s">
        <v>840</v>
      </c>
      <c r="H39" s="1" t="s">
        <v>841</v>
      </c>
      <c r="I39" s="4">
        <v>45616.0</v>
      </c>
      <c r="J39" s="1" t="s">
        <v>949</v>
      </c>
      <c r="K39" s="1" t="s">
        <v>950</v>
      </c>
      <c r="L39" s="1" t="s">
        <v>951</v>
      </c>
    </row>
    <row r="40">
      <c r="A40" s="1" t="s">
        <v>221</v>
      </c>
      <c r="B40" s="1" t="s">
        <v>389</v>
      </c>
      <c r="C40" s="1" t="s">
        <v>30</v>
      </c>
      <c r="D40" s="1" t="s">
        <v>842</v>
      </c>
      <c r="E40" s="4">
        <v>41514.0</v>
      </c>
      <c r="F40" s="1" t="s">
        <v>639</v>
      </c>
      <c r="G40" s="1" t="s">
        <v>640</v>
      </c>
      <c r="H40" s="1" t="s">
        <v>952</v>
      </c>
      <c r="I40" s="4">
        <v>45616.0</v>
      </c>
      <c r="J40" s="1" t="s">
        <v>953</v>
      </c>
      <c r="K40" s="1" t="s">
        <v>954</v>
      </c>
      <c r="L40" s="1" t="s">
        <v>955</v>
      </c>
    </row>
    <row r="41">
      <c r="A41" s="1" t="s">
        <v>310</v>
      </c>
      <c r="B41" s="1" t="s">
        <v>389</v>
      </c>
      <c r="C41" s="1" t="s">
        <v>30</v>
      </c>
      <c r="D41" s="1" t="s">
        <v>310</v>
      </c>
      <c r="E41" s="4">
        <v>39317.0</v>
      </c>
      <c r="F41" s="1" t="s">
        <v>652</v>
      </c>
      <c r="G41" s="1" t="s">
        <v>653</v>
      </c>
      <c r="H41" s="1" t="s">
        <v>654</v>
      </c>
      <c r="I41" s="4">
        <v>45616.0</v>
      </c>
      <c r="J41" s="1" t="s">
        <v>956</v>
      </c>
      <c r="K41" s="1" t="s">
        <v>957</v>
      </c>
      <c r="L41" s="1" t="s">
        <v>958</v>
      </c>
    </row>
    <row r="42">
      <c r="A42" s="1" t="s">
        <v>257</v>
      </c>
      <c r="B42" s="1" t="s">
        <v>389</v>
      </c>
      <c r="C42" s="1" t="s">
        <v>30</v>
      </c>
      <c r="D42" s="1" t="s">
        <v>257</v>
      </c>
      <c r="E42" s="4">
        <v>39518.0</v>
      </c>
      <c r="F42" s="1" t="s">
        <v>658</v>
      </c>
      <c r="G42" s="1" t="s">
        <v>659</v>
      </c>
      <c r="H42" s="1" t="s">
        <v>660</v>
      </c>
      <c r="I42" s="4">
        <v>42229.0</v>
      </c>
      <c r="J42" s="1" t="s">
        <v>661</v>
      </c>
      <c r="K42" s="1" t="s">
        <v>662</v>
      </c>
      <c r="L42" s="1" t="s">
        <v>663</v>
      </c>
    </row>
    <row r="43">
      <c r="A43" s="1" t="s">
        <v>260</v>
      </c>
      <c r="B43" s="1" t="s">
        <v>389</v>
      </c>
      <c r="C43" s="1" t="s">
        <v>30</v>
      </c>
      <c r="D43" s="1" t="s">
        <v>260</v>
      </c>
      <c r="E43" s="4">
        <v>40399.0</v>
      </c>
      <c r="F43" s="1" t="s">
        <v>664</v>
      </c>
      <c r="G43" s="1" t="s">
        <v>665</v>
      </c>
      <c r="H43" s="1" t="s">
        <v>666</v>
      </c>
      <c r="I43" s="4">
        <v>45616.0</v>
      </c>
      <c r="J43" s="1" t="s">
        <v>667</v>
      </c>
      <c r="K43" s="1" t="s">
        <v>959</v>
      </c>
      <c r="L43" s="1" t="s">
        <v>960</v>
      </c>
    </row>
    <row r="44">
      <c r="A44" s="1" t="s">
        <v>266</v>
      </c>
      <c r="B44" s="1" t="s">
        <v>389</v>
      </c>
      <c r="C44" s="1" t="s">
        <v>30</v>
      </c>
      <c r="D44" s="1" t="s">
        <v>266</v>
      </c>
      <c r="E44" s="4">
        <v>44697.0</v>
      </c>
      <c r="F44" s="1" t="s">
        <v>670</v>
      </c>
      <c r="G44" s="1" t="s">
        <v>671</v>
      </c>
      <c r="H44" s="1" t="s">
        <v>672</v>
      </c>
      <c r="I44" s="4">
        <v>45616.0</v>
      </c>
      <c r="J44" s="1" t="s">
        <v>673</v>
      </c>
      <c r="K44" s="1" t="s">
        <v>961</v>
      </c>
      <c r="L44" s="1" t="s">
        <v>962</v>
      </c>
    </row>
    <row r="45">
      <c r="A45" s="1" t="s">
        <v>235</v>
      </c>
      <c r="B45" s="1" t="s">
        <v>389</v>
      </c>
      <c r="C45" s="1" t="s">
        <v>30</v>
      </c>
      <c r="D45" s="1" t="s">
        <v>843</v>
      </c>
      <c r="E45" s="4">
        <v>40399.0</v>
      </c>
      <c r="F45" s="1" t="s">
        <v>676</v>
      </c>
      <c r="G45" s="1" t="s">
        <v>677</v>
      </c>
      <c r="H45" s="1" t="s">
        <v>678</v>
      </c>
      <c r="I45" s="4">
        <v>45616.0</v>
      </c>
      <c r="J45" s="1" t="s">
        <v>963</v>
      </c>
      <c r="K45" s="1" t="s">
        <v>964</v>
      </c>
      <c r="L45" s="1" t="s">
        <v>965</v>
      </c>
    </row>
    <row r="46">
      <c r="A46" s="1" t="s">
        <v>85</v>
      </c>
      <c r="B46" s="1" t="s">
        <v>334</v>
      </c>
      <c r="C46" s="1" t="s">
        <v>30</v>
      </c>
      <c r="D46" s="1" t="s">
        <v>844</v>
      </c>
      <c r="E46" s="4">
        <v>35201.0</v>
      </c>
      <c r="F46" s="1" t="s">
        <v>845</v>
      </c>
      <c r="G46" s="1" t="s">
        <v>846</v>
      </c>
      <c r="H46" s="23">
        <v>63767.0</v>
      </c>
      <c r="I46" s="4">
        <v>45616.0</v>
      </c>
      <c r="J46" s="1" t="s">
        <v>966</v>
      </c>
      <c r="K46" s="1" t="s">
        <v>967</v>
      </c>
      <c r="L46" s="1" t="s">
        <v>968</v>
      </c>
    </row>
    <row r="47">
      <c r="A47" s="1" t="s">
        <v>316</v>
      </c>
      <c r="B47" s="1" t="s">
        <v>389</v>
      </c>
      <c r="C47" s="1" t="s">
        <v>30</v>
      </c>
      <c r="D47" s="1" t="s">
        <v>316</v>
      </c>
      <c r="E47" s="4">
        <v>40042.0</v>
      </c>
      <c r="F47" s="1" t="s">
        <v>701</v>
      </c>
      <c r="G47" s="1" t="s">
        <v>702</v>
      </c>
      <c r="H47" s="1" t="s">
        <v>703</v>
      </c>
      <c r="I47" s="4">
        <v>45616.0</v>
      </c>
      <c r="J47" s="1" t="s">
        <v>704</v>
      </c>
      <c r="K47" s="1" t="s">
        <v>705</v>
      </c>
      <c r="L47" s="1" t="s">
        <v>969</v>
      </c>
    </row>
    <row r="48">
      <c r="A48" s="1" t="s">
        <v>202</v>
      </c>
      <c r="B48" s="1" t="s">
        <v>389</v>
      </c>
      <c r="C48" s="1" t="s">
        <v>30</v>
      </c>
      <c r="D48" s="1" t="s">
        <v>202</v>
      </c>
      <c r="E48" s="4">
        <v>40043.0</v>
      </c>
      <c r="F48" s="1" t="s">
        <v>707</v>
      </c>
      <c r="G48" s="1" t="s">
        <v>708</v>
      </c>
      <c r="H48" s="1" t="s">
        <v>709</v>
      </c>
      <c r="I48" s="4">
        <v>45616.0</v>
      </c>
      <c r="J48" s="1" t="s">
        <v>970</v>
      </c>
      <c r="K48" s="1" t="s">
        <v>971</v>
      </c>
      <c r="L48" s="1" t="s">
        <v>972</v>
      </c>
    </row>
    <row r="49" hidden="1">
      <c r="A49" s="1" t="s">
        <v>13</v>
      </c>
      <c r="B49" s="1" t="s">
        <v>13</v>
      </c>
      <c r="C49" s="1" t="s">
        <v>15</v>
      </c>
      <c r="D49" s="1" t="s">
        <v>13</v>
      </c>
      <c r="E49" s="4">
        <v>43939.0</v>
      </c>
      <c r="F49" s="1" t="s">
        <v>973</v>
      </c>
      <c r="G49" s="26">
        <v>76154.0</v>
      </c>
      <c r="H49" s="1" t="s">
        <v>974</v>
      </c>
      <c r="I49" s="4">
        <v>45614.0</v>
      </c>
      <c r="J49" s="1" t="s">
        <v>975</v>
      </c>
      <c r="K49" s="1" t="s">
        <v>976</v>
      </c>
      <c r="L49" s="1" t="s">
        <v>977</v>
      </c>
    </row>
    <row r="50">
      <c r="A50" s="1" t="s">
        <v>126</v>
      </c>
      <c r="B50" s="1" t="s">
        <v>719</v>
      </c>
      <c r="C50" s="1" t="s">
        <v>127</v>
      </c>
      <c r="D50" s="1" t="s">
        <v>126</v>
      </c>
      <c r="E50" s="4">
        <v>44741.0</v>
      </c>
      <c r="F50" s="1" t="s">
        <v>720</v>
      </c>
      <c r="G50" s="1" t="s">
        <v>721</v>
      </c>
      <c r="H50" s="1" t="s">
        <v>722</v>
      </c>
      <c r="I50" s="4">
        <v>45585.0</v>
      </c>
      <c r="J50" s="1" t="s">
        <v>723</v>
      </c>
      <c r="K50" s="1" t="s">
        <v>724</v>
      </c>
      <c r="L50" s="24">
        <v>45552.0</v>
      </c>
    </row>
    <row r="51">
      <c r="A51" s="1" t="s">
        <v>725</v>
      </c>
      <c r="B51" s="1" t="s">
        <v>719</v>
      </c>
      <c r="C51" s="1" t="s">
        <v>30</v>
      </c>
      <c r="D51" s="1" t="s">
        <v>725</v>
      </c>
      <c r="E51" s="4">
        <v>44787.0</v>
      </c>
      <c r="F51" s="1" t="s">
        <v>726</v>
      </c>
      <c r="G51" s="1" t="s">
        <v>978</v>
      </c>
      <c r="H51" s="1" t="s">
        <v>979</v>
      </c>
      <c r="I51" s="4">
        <v>45616.0</v>
      </c>
      <c r="J51" s="1" t="s">
        <v>980</v>
      </c>
      <c r="K51" s="1" t="s">
        <v>981</v>
      </c>
      <c r="L51" s="1" t="s">
        <v>982</v>
      </c>
    </row>
    <row r="52">
      <c r="A52" s="1" t="s">
        <v>732</v>
      </c>
      <c r="B52" s="1" t="s">
        <v>733</v>
      </c>
      <c r="C52" s="1" t="s">
        <v>22</v>
      </c>
      <c r="D52" s="1" t="s">
        <v>732</v>
      </c>
      <c r="E52" s="4">
        <v>45038.0</v>
      </c>
      <c r="F52" s="1" t="s">
        <v>734</v>
      </c>
      <c r="G52" s="1" t="s">
        <v>735</v>
      </c>
      <c r="H52" s="22" t="s">
        <v>736</v>
      </c>
      <c r="I52" s="4">
        <v>45447.0</v>
      </c>
      <c r="J52" s="1" t="s">
        <v>737</v>
      </c>
      <c r="K52" s="1" t="s">
        <v>738</v>
      </c>
      <c r="L52" s="1" t="s">
        <v>739</v>
      </c>
    </row>
    <row r="53">
      <c r="A53" s="1" t="s">
        <v>847</v>
      </c>
      <c r="B53" s="1" t="s">
        <v>733</v>
      </c>
      <c r="C53" s="1" t="s">
        <v>22</v>
      </c>
      <c r="D53" s="1" t="s">
        <v>740</v>
      </c>
      <c r="E53" s="4">
        <v>44671.0</v>
      </c>
      <c r="F53" s="1" t="s">
        <v>741</v>
      </c>
      <c r="G53" s="1" t="s">
        <v>983</v>
      </c>
      <c r="H53" s="1" t="s">
        <v>984</v>
      </c>
      <c r="I53" s="4">
        <v>45616.0</v>
      </c>
      <c r="J53" s="1" t="s">
        <v>985</v>
      </c>
      <c r="K53" s="1" t="s">
        <v>986</v>
      </c>
      <c r="L53" s="1" t="s">
        <v>987</v>
      </c>
    </row>
    <row r="54">
      <c r="A54" s="1" t="s">
        <v>848</v>
      </c>
      <c r="B54" s="1" t="s">
        <v>733</v>
      </c>
      <c r="C54" s="1" t="s">
        <v>22</v>
      </c>
      <c r="D54" s="1" t="s">
        <v>747</v>
      </c>
      <c r="E54" s="4">
        <v>44672.0</v>
      </c>
      <c r="F54" s="1" t="s">
        <v>748</v>
      </c>
      <c r="G54" s="1" t="s">
        <v>749</v>
      </c>
      <c r="H54" s="1" t="s">
        <v>750</v>
      </c>
      <c r="I54" s="4">
        <v>45501.0</v>
      </c>
      <c r="J54" s="1" t="s">
        <v>751</v>
      </c>
      <c r="K54" s="1" t="s">
        <v>752</v>
      </c>
      <c r="L54" s="1" t="s">
        <v>753</v>
      </c>
    </row>
  </sheetData>
  <autoFilter ref="$A$1:$Z$54">
    <filterColumn colId="2">
      <filters>
        <filter val="tundra"/>
        <filter val="ice sheet"/>
        <filter val="local glacier"/>
        <filter val="bedrock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1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334</v>
      </c>
      <c r="N1" s="1" t="s">
        <v>988</v>
      </c>
      <c r="O1" s="1" t="s">
        <v>989</v>
      </c>
      <c r="P1" s="1" t="s">
        <v>990</v>
      </c>
    </row>
    <row r="2">
      <c r="A2" s="1" t="s">
        <v>152</v>
      </c>
      <c r="B2" s="1" t="s">
        <v>14</v>
      </c>
      <c r="C2" s="1" t="s">
        <v>30</v>
      </c>
      <c r="D2" s="4">
        <v>42940.0</v>
      </c>
      <c r="E2" s="4">
        <v>44420.0</v>
      </c>
      <c r="F2" s="1" t="s">
        <v>153</v>
      </c>
      <c r="G2" s="1" t="s">
        <v>154</v>
      </c>
      <c r="H2" s="1" t="s">
        <v>991</v>
      </c>
      <c r="I2" s="27">
        <v>44359.75</v>
      </c>
      <c r="J2" s="1" t="s">
        <v>338</v>
      </c>
      <c r="K2" s="1" t="s">
        <v>992</v>
      </c>
      <c r="L2" s="22" t="s">
        <v>993</v>
      </c>
      <c r="M2" s="1">
        <v>0.0</v>
      </c>
    </row>
    <row r="3">
      <c r="A3" s="1" t="s">
        <v>158</v>
      </c>
      <c r="B3" s="1" t="s">
        <v>79</v>
      </c>
      <c r="C3" s="1" t="s">
        <v>30</v>
      </c>
      <c r="D3" s="4">
        <v>44420.0</v>
      </c>
      <c r="E3" s="4">
        <v>45405.0</v>
      </c>
      <c r="F3" s="1" t="s">
        <v>153</v>
      </c>
      <c r="G3" s="1" t="s">
        <v>154</v>
      </c>
      <c r="H3" s="1" t="s">
        <v>991</v>
      </c>
      <c r="I3" s="27">
        <v>45405.0</v>
      </c>
      <c r="J3" s="1" t="s">
        <v>994</v>
      </c>
      <c r="K3" s="1" t="s">
        <v>995</v>
      </c>
      <c r="L3" s="22" t="s">
        <v>996</v>
      </c>
      <c r="M3" s="1">
        <v>1.0</v>
      </c>
    </row>
    <row r="4">
      <c r="A4" s="1" t="s">
        <v>142</v>
      </c>
      <c r="B4" s="1" t="s">
        <v>79</v>
      </c>
      <c r="C4" s="1" t="s">
        <v>30</v>
      </c>
      <c r="D4" s="4">
        <v>44364.0</v>
      </c>
      <c r="E4" s="4">
        <v>45426.0</v>
      </c>
      <c r="F4" s="1" t="s">
        <v>143</v>
      </c>
      <c r="G4" s="1" t="s">
        <v>144</v>
      </c>
      <c r="H4" s="22">
        <v>14124.0</v>
      </c>
      <c r="I4" s="27">
        <v>45426.25</v>
      </c>
      <c r="J4" s="1" t="s">
        <v>997</v>
      </c>
      <c r="K4" s="1" t="s">
        <v>998</v>
      </c>
      <c r="L4" s="22">
        <v>16650.0</v>
      </c>
      <c r="M4" s="1">
        <v>1.0</v>
      </c>
    </row>
    <row r="5">
      <c r="A5" s="1" t="s">
        <v>121</v>
      </c>
      <c r="B5" s="1" t="s">
        <v>79</v>
      </c>
      <c r="C5" s="1" t="s">
        <v>30</v>
      </c>
      <c r="D5" s="4">
        <v>44728.0</v>
      </c>
      <c r="E5" s="4">
        <v>45426.0</v>
      </c>
      <c r="F5" s="1" t="s">
        <v>122</v>
      </c>
      <c r="G5" s="1" t="s">
        <v>123</v>
      </c>
      <c r="H5" s="22">
        <v>82182.0</v>
      </c>
      <c r="I5" s="27">
        <v>45426.25</v>
      </c>
      <c r="J5" s="1" t="s">
        <v>999</v>
      </c>
      <c r="K5" s="1" t="s">
        <v>1000</v>
      </c>
      <c r="L5" s="22">
        <v>82363.0</v>
      </c>
      <c r="M5" s="1">
        <v>1.0</v>
      </c>
    </row>
    <row r="6">
      <c r="A6" s="1" t="s">
        <v>147</v>
      </c>
      <c r="B6" s="1" t="s">
        <v>14</v>
      </c>
      <c r="C6" s="1" t="s">
        <v>30</v>
      </c>
      <c r="D6" s="4">
        <v>42491.0</v>
      </c>
      <c r="E6" s="4">
        <v>45426.0</v>
      </c>
      <c r="F6" s="1" t="s">
        <v>148</v>
      </c>
      <c r="G6" s="1" t="s">
        <v>149</v>
      </c>
      <c r="H6" s="1" t="s">
        <v>1001</v>
      </c>
      <c r="I6" s="27">
        <v>45426.25</v>
      </c>
      <c r="J6" s="1" t="s">
        <v>1002</v>
      </c>
      <c r="K6" s="1" t="s">
        <v>1003</v>
      </c>
      <c r="L6" s="22">
        <v>281025.0</v>
      </c>
      <c r="M6" s="1">
        <v>1.0</v>
      </c>
    </row>
    <row r="7">
      <c r="A7" s="1" t="s">
        <v>364</v>
      </c>
      <c r="B7" s="1" t="s">
        <v>14</v>
      </c>
      <c r="C7" s="1" t="s">
        <v>22</v>
      </c>
      <c r="D7" s="4">
        <v>44404.0</v>
      </c>
      <c r="E7" s="4">
        <v>45426.0</v>
      </c>
      <c r="F7" s="1" t="s">
        <v>136</v>
      </c>
      <c r="G7" s="1" t="s">
        <v>136</v>
      </c>
      <c r="H7" s="1" t="s">
        <v>136</v>
      </c>
      <c r="I7" s="27">
        <v>45426.25</v>
      </c>
      <c r="J7" s="1" t="s">
        <v>1004</v>
      </c>
      <c r="K7" s="1" t="s">
        <v>1005</v>
      </c>
      <c r="L7" s="1" t="s">
        <v>1006</v>
      </c>
      <c r="P7" s="1">
        <v>1.0</v>
      </c>
    </row>
    <row r="8">
      <c r="A8" s="1" t="s">
        <v>137</v>
      </c>
      <c r="B8" s="1" t="s">
        <v>79</v>
      </c>
      <c r="C8" s="1" t="s">
        <v>30</v>
      </c>
      <c r="D8" s="4">
        <v>44731.0</v>
      </c>
      <c r="E8" s="4">
        <v>45426.0</v>
      </c>
      <c r="F8" s="1" t="s">
        <v>138</v>
      </c>
      <c r="G8" s="1" t="s">
        <v>139</v>
      </c>
      <c r="H8" s="22">
        <v>25416.0</v>
      </c>
      <c r="I8" s="27">
        <v>45426.25</v>
      </c>
      <c r="J8" s="1" t="s">
        <v>1007</v>
      </c>
      <c r="K8" s="1" t="s">
        <v>1008</v>
      </c>
      <c r="L8" s="1" t="s">
        <v>1009</v>
      </c>
      <c r="M8" s="1">
        <v>1.0</v>
      </c>
    </row>
    <row r="9">
      <c r="A9" s="1" t="s">
        <v>37</v>
      </c>
      <c r="B9" s="1" t="s">
        <v>14</v>
      </c>
      <c r="C9" s="1" t="s">
        <v>30</v>
      </c>
      <c r="D9" s="4">
        <v>44342.0</v>
      </c>
      <c r="E9" s="4">
        <v>44952.0</v>
      </c>
      <c r="F9" s="1" t="s">
        <v>38</v>
      </c>
      <c r="G9" s="1" t="s">
        <v>39</v>
      </c>
      <c r="H9" s="1" t="s">
        <v>40</v>
      </c>
      <c r="I9" s="27">
        <v>44952.666666666664</v>
      </c>
      <c r="J9" s="1" t="s">
        <v>41</v>
      </c>
      <c r="K9" s="1" t="s">
        <v>1010</v>
      </c>
      <c r="L9" s="1" t="s">
        <v>1011</v>
      </c>
      <c r="M9" s="1">
        <v>0.0</v>
      </c>
    </row>
    <row r="10">
      <c r="A10" s="1" t="s">
        <v>29</v>
      </c>
      <c r="B10" s="1" t="s">
        <v>14</v>
      </c>
      <c r="C10" s="1" t="s">
        <v>30</v>
      </c>
      <c r="D10" s="4">
        <v>44776.0</v>
      </c>
      <c r="E10" s="4">
        <v>45426.0</v>
      </c>
      <c r="F10" s="1" t="s">
        <v>31</v>
      </c>
      <c r="G10" s="1" t="s">
        <v>1012</v>
      </c>
      <c r="H10" s="1" t="s">
        <v>33</v>
      </c>
      <c r="I10" s="27">
        <v>45426.25</v>
      </c>
      <c r="J10" s="1" t="s">
        <v>1013</v>
      </c>
      <c r="K10" s="1" t="s">
        <v>1014</v>
      </c>
      <c r="L10" s="1" t="s">
        <v>1015</v>
      </c>
      <c r="M10" s="1">
        <v>1.0</v>
      </c>
    </row>
    <row r="11">
      <c r="A11" s="1" t="s">
        <v>297</v>
      </c>
      <c r="B11" s="1" t="s">
        <v>14</v>
      </c>
      <c r="C11" s="1" t="s">
        <v>127</v>
      </c>
      <c r="D11" s="4">
        <v>40646.0</v>
      </c>
      <c r="E11" s="4">
        <v>45426.0</v>
      </c>
      <c r="F11" s="1" t="s">
        <v>298</v>
      </c>
      <c r="G11" s="1" t="s">
        <v>299</v>
      </c>
      <c r="H11" s="1" t="s">
        <v>392</v>
      </c>
      <c r="I11" s="27">
        <v>44927.0</v>
      </c>
      <c r="J11" s="1" t="s">
        <v>298</v>
      </c>
      <c r="K11" s="1" t="s">
        <v>299</v>
      </c>
      <c r="L11" s="1" t="s">
        <v>392</v>
      </c>
      <c r="N11" s="1">
        <v>0.0</v>
      </c>
      <c r="P11" s="1">
        <v>1.0</v>
      </c>
    </row>
    <row r="12">
      <c r="A12" s="1" t="s">
        <v>251</v>
      </c>
      <c r="B12" s="1" t="s">
        <v>14</v>
      </c>
      <c r="C12" s="1" t="s">
        <v>30</v>
      </c>
      <c r="D12" s="4">
        <v>39692.0</v>
      </c>
      <c r="E12" s="4">
        <v>45426.0</v>
      </c>
      <c r="F12" s="1" t="s">
        <v>252</v>
      </c>
      <c r="G12" s="1" t="s">
        <v>253</v>
      </c>
      <c r="H12" s="1" t="s">
        <v>1016</v>
      </c>
      <c r="I12" s="27">
        <v>45426.25</v>
      </c>
      <c r="J12" s="1" t="s">
        <v>1017</v>
      </c>
      <c r="K12" s="1" t="s">
        <v>1018</v>
      </c>
      <c r="L12" s="1" t="s">
        <v>1019</v>
      </c>
      <c r="N12" s="1">
        <v>0.0</v>
      </c>
    </row>
    <row r="13">
      <c r="A13" s="1" t="s">
        <v>399</v>
      </c>
      <c r="B13" s="1" t="s">
        <v>14</v>
      </c>
      <c r="C13" s="1" t="s">
        <v>30</v>
      </c>
      <c r="D13" s="4">
        <v>45160.0</v>
      </c>
      <c r="E13" s="4">
        <v>45426.0</v>
      </c>
      <c r="F13" s="1" t="s">
        <v>136</v>
      </c>
      <c r="G13" s="1" t="s">
        <v>136</v>
      </c>
      <c r="H13" s="1" t="s">
        <v>136</v>
      </c>
      <c r="I13" s="27">
        <v>45426.25</v>
      </c>
      <c r="J13" s="1" t="s">
        <v>1020</v>
      </c>
      <c r="K13" s="1" t="s">
        <v>1021</v>
      </c>
      <c r="L13" s="1" t="s">
        <v>1022</v>
      </c>
      <c r="N13" s="1">
        <v>1.0</v>
      </c>
    </row>
    <row r="14">
      <c r="A14" s="1" t="s">
        <v>167</v>
      </c>
      <c r="B14" s="1" t="s">
        <v>14</v>
      </c>
      <c r="C14" s="1" t="s">
        <v>30</v>
      </c>
      <c r="D14" s="4">
        <v>39693.0</v>
      </c>
      <c r="E14" s="4">
        <v>45426.0</v>
      </c>
      <c r="F14" s="1" t="s">
        <v>168</v>
      </c>
      <c r="G14" s="1" t="s">
        <v>169</v>
      </c>
      <c r="H14" s="1" t="s">
        <v>1023</v>
      </c>
      <c r="I14" s="27">
        <v>45426.25</v>
      </c>
      <c r="J14" s="1" t="s">
        <v>1024</v>
      </c>
      <c r="K14" s="1" t="s">
        <v>1025</v>
      </c>
      <c r="L14" s="22" t="s">
        <v>1026</v>
      </c>
      <c r="N14" s="1">
        <v>1.0</v>
      </c>
    </row>
    <row r="15">
      <c r="A15" s="1" t="s">
        <v>162</v>
      </c>
      <c r="B15" s="1" t="s">
        <v>79</v>
      </c>
      <c r="C15" s="1" t="s">
        <v>30</v>
      </c>
      <c r="D15" s="4">
        <v>39907.0</v>
      </c>
      <c r="E15" s="4">
        <v>45426.0</v>
      </c>
      <c r="F15" s="1" t="s">
        <v>163</v>
      </c>
      <c r="G15" s="1" t="s">
        <v>164</v>
      </c>
      <c r="H15" s="1" t="s">
        <v>1027</v>
      </c>
      <c r="I15" s="27">
        <v>45426.25</v>
      </c>
      <c r="J15" s="1" t="s">
        <v>1028</v>
      </c>
      <c r="K15" s="1" t="s">
        <v>1029</v>
      </c>
      <c r="L15" s="22" t="s">
        <v>1030</v>
      </c>
      <c r="N15" s="1">
        <v>1.0</v>
      </c>
    </row>
    <row r="16">
      <c r="A16" s="1" t="s">
        <v>287</v>
      </c>
      <c r="B16" s="1" t="s">
        <v>14</v>
      </c>
      <c r="C16" s="1" t="s">
        <v>30</v>
      </c>
      <c r="D16" s="4">
        <v>39646.0</v>
      </c>
      <c r="E16" s="4">
        <v>45426.0</v>
      </c>
      <c r="F16" s="1" t="s">
        <v>288</v>
      </c>
      <c r="G16" s="1" t="s">
        <v>289</v>
      </c>
      <c r="H16" s="1" t="s">
        <v>1031</v>
      </c>
      <c r="I16" s="27">
        <v>45426.25</v>
      </c>
      <c r="J16" s="1" t="s">
        <v>1032</v>
      </c>
      <c r="K16" s="1" t="s">
        <v>1033</v>
      </c>
      <c r="L16" s="1" t="s">
        <v>1034</v>
      </c>
      <c r="N16" s="1">
        <v>0.0</v>
      </c>
    </row>
    <row r="17">
      <c r="A17" s="1" t="s">
        <v>293</v>
      </c>
      <c r="B17" s="1" t="s">
        <v>14</v>
      </c>
      <c r="C17" s="1" t="s">
        <v>30</v>
      </c>
      <c r="D17" s="4">
        <v>44709.0</v>
      </c>
      <c r="E17" s="4">
        <v>44934.0</v>
      </c>
      <c r="F17" s="1" t="s">
        <v>288</v>
      </c>
      <c r="G17" s="1" t="s">
        <v>289</v>
      </c>
      <c r="H17" s="1" t="s">
        <v>1031</v>
      </c>
      <c r="I17" s="27">
        <v>44934.666666666664</v>
      </c>
      <c r="J17" s="1" t="s">
        <v>1035</v>
      </c>
      <c r="K17" s="1" t="s">
        <v>295</v>
      </c>
      <c r="L17" s="1" t="s">
        <v>1036</v>
      </c>
      <c r="N17" s="1">
        <v>1.0</v>
      </c>
    </row>
    <row r="18">
      <c r="A18" s="1" t="s">
        <v>226</v>
      </c>
      <c r="B18" s="1" t="s">
        <v>14</v>
      </c>
      <c r="C18" s="1" t="s">
        <v>30</v>
      </c>
      <c r="D18" s="4">
        <v>39646.0</v>
      </c>
      <c r="E18" s="4">
        <v>45426.0</v>
      </c>
      <c r="F18" s="1" t="s">
        <v>227</v>
      </c>
      <c r="G18" s="1" t="s">
        <v>228</v>
      </c>
      <c r="H18" s="1" t="s">
        <v>1037</v>
      </c>
      <c r="I18" s="27">
        <v>45426.25</v>
      </c>
      <c r="J18" s="1" t="s">
        <v>1038</v>
      </c>
      <c r="K18" s="1" t="s">
        <v>1039</v>
      </c>
      <c r="L18" s="1" t="s">
        <v>1040</v>
      </c>
      <c r="N18" s="1">
        <v>0.0</v>
      </c>
    </row>
    <row r="19">
      <c r="A19" s="1" t="s">
        <v>232</v>
      </c>
      <c r="B19" s="1" t="s">
        <v>14</v>
      </c>
      <c r="C19" s="1" t="s">
        <v>30</v>
      </c>
      <c r="D19" s="4">
        <v>44709.0</v>
      </c>
      <c r="E19" s="4">
        <v>44946.0</v>
      </c>
      <c r="F19" s="1" t="s">
        <v>227</v>
      </c>
      <c r="G19" s="1" t="s">
        <v>228</v>
      </c>
      <c r="H19" s="1" t="s">
        <v>1037</v>
      </c>
      <c r="I19" s="27">
        <v>44946.458333333336</v>
      </c>
      <c r="J19" s="1" t="s">
        <v>233</v>
      </c>
      <c r="K19" s="1" t="s">
        <v>1041</v>
      </c>
      <c r="L19" s="1" t="s">
        <v>1042</v>
      </c>
      <c r="N19" s="1">
        <v>1.0</v>
      </c>
    </row>
    <row r="20">
      <c r="A20" s="1" t="s">
        <v>71</v>
      </c>
      <c r="B20" s="1" t="s">
        <v>14</v>
      </c>
      <c r="C20" s="1" t="s">
        <v>22</v>
      </c>
      <c r="D20" s="4">
        <v>44440.0</v>
      </c>
      <c r="E20" s="4">
        <v>45426.0</v>
      </c>
      <c r="F20" s="1" t="s">
        <v>72</v>
      </c>
      <c r="G20" s="1" t="s">
        <v>73</v>
      </c>
      <c r="H20" s="1" t="s">
        <v>74</v>
      </c>
      <c r="I20" s="27">
        <v>45426.25</v>
      </c>
      <c r="J20" s="1" t="s">
        <v>1043</v>
      </c>
      <c r="K20" s="1" t="s">
        <v>1044</v>
      </c>
      <c r="L20" s="1" t="s">
        <v>1045</v>
      </c>
      <c r="P20" s="1">
        <v>1.0</v>
      </c>
    </row>
    <row r="21">
      <c r="A21" s="1" t="s">
        <v>21</v>
      </c>
      <c r="B21" s="1" t="s">
        <v>14</v>
      </c>
      <c r="C21" s="1" t="s">
        <v>22</v>
      </c>
      <c r="D21" s="4">
        <v>44440.0</v>
      </c>
      <c r="E21" s="4">
        <v>45401.0</v>
      </c>
      <c r="F21" s="1" t="s">
        <v>23</v>
      </c>
      <c r="G21" s="1" t="s">
        <v>24</v>
      </c>
      <c r="H21" s="1" t="s">
        <v>25</v>
      </c>
      <c r="I21" s="1" t="s">
        <v>136</v>
      </c>
      <c r="J21" s="1" t="s">
        <v>136</v>
      </c>
      <c r="K21" s="1" t="s">
        <v>136</v>
      </c>
      <c r="L21" s="1"/>
      <c r="P21" s="1">
        <v>1.0</v>
      </c>
    </row>
    <row r="22">
      <c r="A22" s="1" t="s">
        <v>281</v>
      </c>
      <c r="B22" s="1" t="s">
        <v>14</v>
      </c>
      <c r="C22" s="1" t="s">
        <v>22</v>
      </c>
      <c r="D22" s="4">
        <v>39937.0</v>
      </c>
      <c r="E22" s="4">
        <v>45170.0</v>
      </c>
      <c r="F22" s="1" t="s">
        <v>282</v>
      </c>
      <c r="G22" s="1" t="s">
        <v>283</v>
      </c>
      <c r="H22" s="1" t="s">
        <v>1046</v>
      </c>
      <c r="I22" s="27">
        <v>45170.75</v>
      </c>
      <c r="J22" s="1" t="s">
        <v>1047</v>
      </c>
      <c r="K22" s="1" t="s">
        <v>1048</v>
      </c>
      <c r="L22" s="1" t="s">
        <v>1049</v>
      </c>
      <c r="P22" s="1">
        <v>1.0</v>
      </c>
    </row>
    <row r="23">
      <c r="A23" s="1" t="s">
        <v>96</v>
      </c>
      <c r="B23" s="1" t="s">
        <v>79</v>
      </c>
      <c r="C23" s="1" t="s">
        <v>30</v>
      </c>
      <c r="D23" s="4">
        <v>44709.0</v>
      </c>
      <c r="E23" s="4">
        <v>45426.0</v>
      </c>
      <c r="F23" s="1" t="s">
        <v>97</v>
      </c>
      <c r="G23" s="1" t="s">
        <v>98</v>
      </c>
      <c r="H23" s="22">
        <v>265592.0</v>
      </c>
      <c r="I23" s="27">
        <v>45426.25</v>
      </c>
      <c r="J23" s="1" t="s">
        <v>1050</v>
      </c>
      <c r="K23" s="1" t="s">
        <v>1051</v>
      </c>
      <c r="L23" s="22">
        <v>265745.0</v>
      </c>
      <c r="M23" s="1">
        <v>1.0</v>
      </c>
    </row>
    <row r="24">
      <c r="A24" s="1" t="s">
        <v>116</v>
      </c>
      <c r="B24" s="1" t="s">
        <v>79</v>
      </c>
      <c r="C24" s="1" t="s">
        <v>30</v>
      </c>
      <c r="D24" s="4">
        <v>44425.0</v>
      </c>
      <c r="E24" s="4">
        <v>45426.0</v>
      </c>
      <c r="F24" s="1" t="s">
        <v>117</v>
      </c>
      <c r="G24" s="1" t="s">
        <v>118</v>
      </c>
      <c r="H24" s="22">
        <v>160799.0</v>
      </c>
      <c r="I24" s="27">
        <v>45426.25</v>
      </c>
      <c r="J24" s="1" t="s">
        <v>1052</v>
      </c>
      <c r="K24" s="1" t="s">
        <v>1053</v>
      </c>
      <c r="L24" s="22">
        <v>159733.0</v>
      </c>
      <c r="M24" s="1">
        <v>1.0</v>
      </c>
    </row>
    <row r="25">
      <c r="A25" s="1" t="s">
        <v>106</v>
      </c>
      <c r="B25" s="1" t="s">
        <v>79</v>
      </c>
      <c r="C25" s="1" t="s">
        <v>30</v>
      </c>
      <c r="D25" s="4">
        <v>44421.0</v>
      </c>
      <c r="E25" s="4">
        <v>45426.0</v>
      </c>
      <c r="F25" s="1" t="s">
        <v>107</v>
      </c>
      <c r="G25" s="1" t="s">
        <v>108</v>
      </c>
      <c r="H25" s="22">
        <v>202133.0</v>
      </c>
      <c r="I25" s="1" t="s">
        <v>136</v>
      </c>
      <c r="J25" s="1" t="s">
        <v>136</v>
      </c>
      <c r="K25" s="1" t="s">
        <v>136</v>
      </c>
      <c r="L25" s="1"/>
      <c r="M25" s="1">
        <v>1.0</v>
      </c>
    </row>
    <row r="26">
      <c r="A26" s="1" t="s">
        <v>111</v>
      </c>
      <c r="B26" s="1" t="s">
        <v>79</v>
      </c>
      <c r="C26" s="1" t="s">
        <v>30</v>
      </c>
      <c r="D26" s="4">
        <v>44366.0</v>
      </c>
      <c r="E26" s="4">
        <v>45330.0</v>
      </c>
      <c r="F26" s="1" t="s">
        <v>112</v>
      </c>
      <c r="G26" s="1" t="s">
        <v>113</v>
      </c>
      <c r="H26" s="22">
        <v>177630.0</v>
      </c>
      <c r="I26" s="27">
        <v>45330.666666666664</v>
      </c>
      <c r="J26" s="1" t="s">
        <v>1054</v>
      </c>
      <c r="K26" s="1" t="s">
        <v>1055</v>
      </c>
      <c r="L26" s="22">
        <v>175804.0</v>
      </c>
      <c r="M26" s="1">
        <v>1.0</v>
      </c>
    </row>
    <row r="27">
      <c r="A27" s="1" t="s">
        <v>488</v>
      </c>
      <c r="B27" s="1" t="s">
        <v>14</v>
      </c>
      <c r="C27" s="1" t="s">
        <v>127</v>
      </c>
      <c r="D27" s="4">
        <v>45202.0</v>
      </c>
      <c r="E27" s="4">
        <v>45426.0</v>
      </c>
      <c r="F27" s="1" t="s">
        <v>136</v>
      </c>
      <c r="G27" s="1" t="s">
        <v>136</v>
      </c>
      <c r="H27" s="1" t="s">
        <v>136</v>
      </c>
      <c r="I27" s="27">
        <v>45426.25</v>
      </c>
      <c r="J27" s="1" t="s">
        <v>899</v>
      </c>
      <c r="K27" s="1" t="s">
        <v>1056</v>
      </c>
      <c r="L27" s="1" t="s">
        <v>1057</v>
      </c>
      <c r="P27" s="1">
        <v>1.0</v>
      </c>
    </row>
    <row r="28">
      <c r="A28" s="1" t="s">
        <v>245</v>
      </c>
      <c r="B28" s="1" t="s">
        <v>14</v>
      </c>
      <c r="C28" s="1" t="s">
        <v>22</v>
      </c>
      <c r="D28" s="4">
        <v>41848.0</v>
      </c>
      <c r="E28" s="4">
        <v>45418.0</v>
      </c>
      <c r="F28" s="1" t="s">
        <v>246</v>
      </c>
      <c r="G28" s="1" t="s">
        <v>247</v>
      </c>
      <c r="H28" s="1" t="s">
        <v>1058</v>
      </c>
      <c r="I28" s="27">
        <v>45418.833333333336</v>
      </c>
      <c r="J28" s="1" t="s">
        <v>1059</v>
      </c>
      <c r="K28" s="1" t="s">
        <v>1060</v>
      </c>
      <c r="L28" s="1" t="s">
        <v>1061</v>
      </c>
      <c r="P28" s="1">
        <v>1.0</v>
      </c>
    </row>
    <row r="29">
      <c r="A29" s="1" t="s">
        <v>270</v>
      </c>
      <c r="B29" s="1" t="s">
        <v>14</v>
      </c>
      <c r="C29" s="1" t="s">
        <v>30</v>
      </c>
      <c r="D29" s="4">
        <v>39314.0</v>
      </c>
      <c r="E29" s="4">
        <v>45426.0</v>
      </c>
      <c r="F29" s="1" t="s">
        <v>271</v>
      </c>
      <c r="G29" s="1" t="s">
        <v>272</v>
      </c>
      <c r="H29" s="1" t="s">
        <v>1062</v>
      </c>
      <c r="I29" s="27">
        <v>45426.25</v>
      </c>
      <c r="J29" s="1" t="s">
        <v>1063</v>
      </c>
      <c r="K29" s="1" t="s">
        <v>1064</v>
      </c>
      <c r="L29" s="1" t="s">
        <v>1065</v>
      </c>
      <c r="N29" s="1">
        <v>1.0</v>
      </c>
    </row>
    <row r="30">
      <c r="A30" s="1" t="s">
        <v>208</v>
      </c>
      <c r="B30" s="1" t="s">
        <v>14</v>
      </c>
      <c r="C30" s="1" t="s">
        <v>30</v>
      </c>
      <c r="D30" s="4">
        <v>40384.0</v>
      </c>
      <c r="E30" s="4">
        <v>41845.0</v>
      </c>
      <c r="F30" s="1" t="s">
        <v>209</v>
      </c>
      <c r="G30" s="1" t="s">
        <v>210</v>
      </c>
      <c r="H30" s="1" t="s">
        <v>1066</v>
      </c>
      <c r="I30" s="27">
        <v>41845.458333333336</v>
      </c>
      <c r="J30" s="1" t="s">
        <v>209</v>
      </c>
      <c r="K30" s="1" t="s">
        <v>210</v>
      </c>
      <c r="L30" s="1" t="s">
        <v>1066</v>
      </c>
      <c r="O30" s="1">
        <v>1.0</v>
      </c>
    </row>
    <row r="31">
      <c r="A31" s="1" t="s">
        <v>179</v>
      </c>
      <c r="B31" s="1" t="s">
        <v>14</v>
      </c>
      <c r="C31" s="1" t="s">
        <v>30</v>
      </c>
      <c r="D31" s="4">
        <v>39314.0</v>
      </c>
      <c r="E31" s="4">
        <v>45143.0</v>
      </c>
      <c r="F31" s="1" t="s">
        <v>180</v>
      </c>
      <c r="G31" s="1" t="s">
        <v>181</v>
      </c>
      <c r="H31" s="1" t="s">
        <v>1067</v>
      </c>
      <c r="I31" s="27">
        <v>45143.75</v>
      </c>
      <c r="J31" s="1" t="s">
        <v>1068</v>
      </c>
      <c r="K31" s="1" t="s">
        <v>1069</v>
      </c>
      <c r="L31" s="22" t="s">
        <v>1070</v>
      </c>
    </row>
    <row r="32">
      <c r="A32" s="1" t="s">
        <v>184</v>
      </c>
      <c r="B32" s="1" t="s">
        <v>14</v>
      </c>
      <c r="C32" s="1" t="s">
        <v>30</v>
      </c>
      <c r="D32" s="4">
        <v>44074.0</v>
      </c>
      <c r="E32" s="4">
        <v>45426.0</v>
      </c>
      <c r="F32" s="1" t="s">
        <v>180</v>
      </c>
      <c r="G32" s="1" t="s">
        <v>181</v>
      </c>
      <c r="H32" s="1" t="s">
        <v>1067</v>
      </c>
      <c r="I32" s="27">
        <v>45426.25</v>
      </c>
      <c r="J32" s="1" t="s">
        <v>1071</v>
      </c>
      <c r="K32" s="1" t="s">
        <v>1072</v>
      </c>
      <c r="L32" s="22" t="s">
        <v>1073</v>
      </c>
      <c r="N32" s="1">
        <v>1.0</v>
      </c>
    </row>
    <row r="33">
      <c r="A33" s="1" t="s">
        <v>194</v>
      </c>
      <c r="B33" s="1" t="s">
        <v>14</v>
      </c>
      <c r="C33" s="1" t="s">
        <v>30</v>
      </c>
      <c r="D33" s="4">
        <v>41141.0</v>
      </c>
      <c r="E33" s="4">
        <v>42240.0</v>
      </c>
      <c r="F33" s="1" t="s">
        <v>195</v>
      </c>
      <c r="G33" s="1" t="s">
        <v>196</v>
      </c>
      <c r="H33" s="1" t="s">
        <v>1074</v>
      </c>
      <c r="I33" s="27">
        <v>42240.708333333336</v>
      </c>
      <c r="J33" s="1" t="s">
        <v>195</v>
      </c>
      <c r="K33" s="1" t="s">
        <v>196</v>
      </c>
      <c r="L33" s="1" t="s">
        <v>1074</v>
      </c>
      <c r="O33" s="1">
        <v>1.0</v>
      </c>
    </row>
    <row r="34">
      <c r="A34" s="1" t="s">
        <v>300</v>
      </c>
      <c r="B34" s="1" t="s">
        <v>14</v>
      </c>
      <c r="C34" s="1" t="s">
        <v>30</v>
      </c>
      <c r="D34" s="4">
        <v>39318.0</v>
      </c>
      <c r="E34" s="4">
        <v>45426.0</v>
      </c>
      <c r="F34" s="1" t="s">
        <v>301</v>
      </c>
      <c r="G34" s="1" t="s">
        <v>302</v>
      </c>
      <c r="H34" s="1" t="s">
        <v>1075</v>
      </c>
      <c r="I34" s="27">
        <v>45426.25</v>
      </c>
      <c r="J34" s="1" t="s">
        <v>1076</v>
      </c>
      <c r="K34" s="1" t="s">
        <v>1077</v>
      </c>
      <c r="L34" s="1" t="s">
        <v>1078</v>
      </c>
    </row>
    <row r="35">
      <c r="A35" s="1" t="s">
        <v>306</v>
      </c>
      <c r="B35" s="1" t="s">
        <v>14</v>
      </c>
      <c r="C35" s="1" t="s">
        <v>30</v>
      </c>
      <c r="D35" s="4">
        <v>44802.0</v>
      </c>
      <c r="E35" s="4">
        <v>45426.0</v>
      </c>
      <c r="F35" s="1" t="s">
        <v>301</v>
      </c>
      <c r="G35" s="1" t="s">
        <v>302</v>
      </c>
      <c r="H35" s="1" t="s">
        <v>1075</v>
      </c>
      <c r="I35" s="27">
        <v>45426.25</v>
      </c>
      <c r="J35" s="1" t="s">
        <v>1079</v>
      </c>
      <c r="K35" s="1" t="s">
        <v>1080</v>
      </c>
      <c r="L35" s="1" t="s">
        <v>1081</v>
      </c>
      <c r="N35" s="1">
        <v>1.0</v>
      </c>
    </row>
    <row r="36">
      <c r="A36" s="1" t="s">
        <v>65</v>
      </c>
      <c r="B36" s="1" t="s">
        <v>14</v>
      </c>
      <c r="C36" s="1" t="s">
        <v>30</v>
      </c>
      <c r="D36" s="4">
        <v>42593.0</v>
      </c>
      <c r="E36" s="4">
        <v>45171.0</v>
      </c>
      <c r="F36" s="1" t="s">
        <v>66</v>
      </c>
      <c r="G36" s="1" t="s">
        <v>67</v>
      </c>
      <c r="H36" s="1" t="s">
        <v>68</v>
      </c>
      <c r="I36" s="27">
        <v>44896.0</v>
      </c>
      <c r="J36" s="1" t="s">
        <v>1082</v>
      </c>
      <c r="K36" s="1" t="s">
        <v>1083</v>
      </c>
      <c r="L36" s="1" t="s">
        <v>1084</v>
      </c>
    </row>
    <row r="37">
      <c r="A37" s="1" t="s">
        <v>556</v>
      </c>
      <c r="B37" s="1" t="s">
        <v>14</v>
      </c>
      <c r="C37" s="1" t="s">
        <v>30</v>
      </c>
      <c r="D37" s="4">
        <v>45170.0</v>
      </c>
      <c r="E37" s="4">
        <v>45426.0</v>
      </c>
      <c r="F37" s="1" t="s">
        <v>136</v>
      </c>
      <c r="G37" s="1" t="s">
        <v>136</v>
      </c>
      <c r="H37" s="1" t="s">
        <v>136</v>
      </c>
      <c r="I37" s="27">
        <v>45426.25</v>
      </c>
      <c r="J37" s="1" t="s">
        <v>1085</v>
      </c>
      <c r="K37" s="1" t="s">
        <v>1086</v>
      </c>
      <c r="L37" s="1" t="s">
        <v>1087</v>
      </c>
      <c r="N37" s="1">
        <v>1.0</v>
      </c>
    </row>
    <row r="38">
      <c r="A38" s="1" t="s">
        <v>211</v>
      </c>
      <c r="B38" s="1" t="s">
        <v>14</v>
      </c>
      <c r="C38" s="1" t="s">
        <v>30</v>
      </c>
      <c r="D38" s="4">
        <v>39667.0</v>
      </c>
      <c r="E38" s="4">
        <v>45169.0</v>
      </c>
      <c r="F38" s="1" t="s">
        <v>212</v>
      </c>
      <c r="G38" s="1" t="s">
        <v>213</v>
      </c>
      <c r="H38" s="1" t="s">
        <v>1088</v>
      </c>
      <c r="I38" s="27">
        <v>45169.5</v>
      </c>
      <c r="J38" s="1" t="s">
        <v>1089</v>
      </c>
      <c r="K38" s="1" t="s">
        <v>1090</v>
      </c>
      <c r="L38" s="1" t="s">
        <v>1091</v>
      </c>
    </row>
    <row r="39">
      <c r="A39" s="1" t="s">
        <v>217</v>
      </c>
      <c r="B39" s="1" t="s">
        <v>14</v>
      </c>
      <c r="C39" s="1" t="s">
        <v>30</v>
      </c>
      <c r="D39" s="4">
        <v>44072.0</v>
      </c>
      <c r="E39" s="4">
        <v>45426.0</v>
      </c>
      <c r="F39" s="1" t="s">
        <v>212</v>
      </c>
      <c r="G39" s="1" t="s">
        <v>213</v>
      </c>
      <c r="H39" s="1" t="s">
        <v>1088</v>
      </c>
      <c r="I39" s="27">
        <v>45426.25</v>
      </c>
      <c r="J39" s="1" t="s">
        <v>1092</v>
      </c>
      <c r="K39" s="1" t="s">
        <v>1093</v>
      </c>
      <c r="L39" s="1" t="s">
        <v>1094</v>
      </c>
      <c r="N39" s="1">
        <v>1.0</v>
      </c>
    </row>
    <row r="40">
      <c r="A40" s="1" t="s">
        <v>78</v>
      </c>
      <c r="B40" s="1" t="s">
        <v>79</v>
      </c>
      <c r="C40" s="1" t="s">
        <v>15</v>
      </c>
      <c r="D40" s="4">
        <v>44697.0</v>
      </c>
      <c r="E40" s="4">
        <v>45426.0</v>
      </c>
      <c r="F40" s="1" t="s">
        <v>80</v>
      </c>
      <c r="G40" s="26">
        <v>1432817.0</v>
      </c>
      <c r="H40" s="1" t="s">
        <v>82</v>
      </c>
      <c r="I40" s="27">
        <v>45426.25</v>
      </c>
      <c r="J40" s="1" t="s">
        <v>1095</v>
      </c>
      <c r="K40" s="1" t="s">
        <v>1096</v>
      </c>
      <c r="L40" s="24">
        <v>45381.0</v>
      </c>
    </row>
    <row r="41">
      <c r="A41" s="1" t="s">
        <v>132</v>
      </c>
      <c r="B41" s="1" t="s">
        <v>14</v>
      </c>
      <c r="C41" s="1" t="s">
        <v>15</v>
      </c>
      <c r="D41" s="4">
        <v>44784.0</v>
      </c>
      <c r="E41" s="4">
        <v>45386.0</v>
      </c>
      <c r="F41" s="1" t="s">
        <v>133</v>
      </c>
      <c r="G41" s="26">
        <v>1432817.0</v>
      </c>
      <c r="H41" s="24">
        <v>45378.0</v>
      </c>
      <c r="I41" s="27">
        <v>45386.208333333336</v>
      </c>
      <c r="J41" s="1" t="s">
        <v>1097</v>
      </c>
      <c r="K41" s="1" t="s">
        <v>1098</v>
      </c>
      <c r="L41" s="24">
        <v>45466.0</v>
      </c>
    </row>
    <row r="42">
      <c r="A42" s="1" t="s">
        <v>276</v>
      </c>
      <c r="B42" s="1" t="s">
        <v>14</v>
      </c>
      <c r="C42" s="1" t="s">
        <v>30</v>
      </c>
      <c r="D42" s="4">
        <v>39651.0</v>
      </c>
      <c r="E42" s="4">
        <v>45426.0</v>
      </c>
      <c r="F42" s="1" t="s">
        <v>277</v>
      </c>
      <c r="G42" s="1" t="s">
        <v>278</v>
      </c>
      <c r="H42" s="1" t="s">
        <v>1099</v>
      </c>
      <c r="I42" s="27">
        <v>45426.0</v>
      </c>
      <c r="J42" s="1" t="s">
        <v>136</v>
      </c>
      <c r="K42" s="1" t="s">
        <v>136</v>
      </c>
      <c r="L42" s="1"/>
      <c r="N42" s="1">
        <v>1.0</v>
      </c>
    </row>
    <row r="43">
      <c r="A43" s="1" t="s">
        <v>197</v>
      </c>
      <c r="B43" s="1" t="s">
        <v>14</v>
      </c>
      <c r="C43" s="1" t="s">
        <v>30</v>
      </c>
      <c r="D43" s="4">
        <v>39650.0</v>
      </c>
      <c r="E43" s="4">
        <v>45426.0</v>
      </c>
      <c r="F43" s="1" t="s">
        <v>198</v>
      </c>
      <c r="G43" s="1" t="s">
        <v>199</v>
      </c>
      <c r="H43" s="1" t="s">
        <v>1100</v>
      </c>
      <c r="I43" s="27">
        <v>45426.25</v>
      </c>
      <c r="J43" s="1" t="s">
        <v>136</v>
      </c>
      <c r="K43" s="1" t="s">
        <v>136</v>
      </c>
      <c r="L43" s="1"/>
      <c r="N43" s="1">
        <v>1.0</v>
      </c>
    </row>
    <row r="44">
      <c r="A44" s="1" t="s">
        <v>101</v>
      </c>
      <c r="B44" s="1" t="s">
        <v>79</v>
      </c>
      <c r="C44" s="1" t="s">
        <v>30</v>
      </c>
      <c r="D44" s="4">
        <v>44735.0</v>
      </c>
      <c r="E44" s="4">
        <v>45331.0</v>
      </c>
      <c r="F44" s="1" t="s">
        <v>102</v>
      </c>
      <c r="G44" s="1" t="s">
        <v>103</v>
      </c>
      <c r="H44" s="22">
        <v>203898.0</v>
      </c>
      <c r="I44" s="27">
        <v>45331.541666666664</v>
      </c>
      <c r="J44" s="1" t="s">
        <v>1101</v>
      </c>
      <c r="K44" s="1" t="s">
        <v>1102</v>
      </c>
      <c r="L44" s="22">
        <v>207826.0</v>
      </c>
      <c r="M44" s="1">
        <v>1.0</v>
      </c>
    </row>
    <row r="45">
      <c r="A45" s="1" t="s">
        <v>91</v>
      </c>
      <c r="B45" s="1" t="s">
        <v>79</v>
      </c>
      <c r="C45" s="1" t="s">
        <v>30</v>
      </c>
      <c r="D45" s="4">
        <v>44368.0</v>
      </c>
      <c r="E45" s="4">
        <v>45426.0</v>
      </c>
      <c r="F45" s="1" t="s">
        <v>1103</v>
      </c>
      <c r="G45" s="1" t="s">
        <v>93</v>
      </c>
      <c r="H45" s="22">
        <v>363784.0</v>
      </c>
      <c r="I45" s="1" t="s">
        <v>136</v>
      </c>
      <c r="J45" s="1" t="s">
        <v>136</v>
      </c>
      <c r="K45" s="1" t="s">
        <v>136</v>
      </c>
      <c r="L45" s="1"/>
      <c r="M45" s="1">
        <v>1.0</v>
      </c>
    </row>
    <row r="46">
      <c r="A46" s="1" t="s">
        <v>188</v>
      </c>
      <c r="B46" s="1" t="s">
        <v>14</v>
      </c>
      <c r="C46" s="1" t="s">
        <v>30</v>
      </c>
      <c r="D46" s="4">
        <v>44048.0</v>
      </c>
      <c r="E46" s="4">
        <v>44971.0</v>
      </c>
      <c r="F46" s="1" t="s">
        <v>189</v>
      </c>
      <c r="G46" s="1" t="s">
        <v>190</v>
      </c>
      <c r="H46" s="1" t="s">
        <v>1104</v>
      </c>
      <c r="I46" s="27">
        <v>44971.833333333336</v>
      </c>
      <c r="J46" s="1" t="s">
        <v>1105</v>
      </c>
      <c r="K46" s="1" t="s">
        <v>1106</v>
      </c>
      <c r="L46" s="22" t="s">
        <v>1107</v>
      </c>
    </row>
    <row r="47">
      <c r="A47" s="1" t="s">
        <v>173</v>
      </c>
      <c r="B47" s="1" t="s">
        <v>14</v>
      </c>
      <c r="C47" s="1" t="s">
        <v>30</v>
      </c>
      <c r="D47" s="4">
        <v>44775.0</v>
      </c>
      <c r="E47" s="4">
        <v>45426.0</v>
      </c>
      <c r="F47" s="1" t="s">
        <v>174</v>
      </c>
      <c r="G47" s="1" t="s">
        <v>175</v>
      </c>
      <c r="H47" s="1" t="s">
        <v>1108</v>
      </c>
      <c r="I47" s="27">
        <v>45426.25</v>
      </c>
      <c r="J47" s="1" t="s">
        <v>1109</v>
      </c>
      <c r="K47" s="1" t="s">
        <v>1110</v>
      </c>
      <c r="L47" s="1" t="s">
        <v>1111</v>
      </c>
      <c r="M47" s="1">
        <v>1.0</v>
      </c>
    </row>
    <row r="48">
      <c r="A48" s="1" t="s">
        <v>221</v>
      </c>
      <c r="B48" s="1" t="s">
        <v>14</v>
      </c>
      <c r="C48" s="1" t="s">
        <v>30</v>
      </c>
      <c r="D48" s="4">
        <v>41514.0</v>
      </c>
      <c r="E48" s="4">
        <v>45208.0</v>
      </c>
      <c r="F48" s="1" t="s">
        <v>222</v>
      </c>
      <c r="G48" s="1" t="s">
        <v>223</v>
      </c>
      <c r="H48" s="1" t="s">
        <v>1112</v>
      </c>
      <c r="I48" s="27">
        <v>45208.5</v>
      </c>
      <c r="J48" s="1" t="s">
        <v>1113</v>
      </c>
      <c r="K48" s="1" t="s">
        <v>1114</v>
      </c>
      <c r="L48" s="1" t="s">
        <v>1115</v>
      </c>
      <c r="O48" s="1">
        <v>1.0</v>
      </c>
    </row>
    <row r="49">
      <c r="A49" s="1" t="s">
        <v>310</v>
      </c>
      <c r="B49" s="1" t="s">
        <v>14</v>
      </c>
      <c r="C49" s="1" t="s">
        <v>30</v>
      </c>
      <c r="D49" s="4">
        <v>39317.0</v>
      </c>
      <c r="E49" s="4">
        <v>45426.0</v>
      </c>
      <c r="F49" s="1" t="s">
        <v>311</v>
      </c>
      <c r="G49" s="1" t="s">
        <v>312</v>
      </c>
      <c r="H49" s="1" t="s">
        <v>1116</v>
      </c>
      <c r="I49" s="27">
        <v>45426.25</v>
      </c>
      <c r="J49" s="1" t="s">
        <v>1117</v>
      </c>
      <c r="K49" s="1" t="s">
        <v>1118</v>
      </c>
      <c r="L49" s="1" t="s">
        <v>1119</v>
      </c>
      <c r="N49" s="1">
        <v>1.0</v>
      </c>
    </row>
    <row r="50">
      <c r="A50" s="1" t="s">
        <v>257</v>
      </c>
      <c r="B50" s="1" t="s">
        <v>14</v>
      </c>
      <c r="C50" s="1" t="s">
        <v>30</v>
      </c>
      <c r="D50" s="4">
        <v>39518.0</v>
      </c>
      <c r="E50" s="4">
        <v>42229.0</v>
      </c>
      <c r="F50" s="1" t="s">
        <v>258</v>
      </c>
      <c r="G50" s="1" t="s">
        <v>259</v>
      </c>
      <c r="H50" s="1" t="s">
        <v>1120</v>
      </c>
      <c r="I50" s="27">
        <v>42229.583333333336</v>
      </c>
      <c r="J50" s="1" t="s">
        <v>258</v>
      </c>
      <c r="K50" s="1" t="s">
        <v>259</v>
      </c>
      <c r="L50" s="1" t="s">
        <v>1120</v>
      </c>
      <c r="N50" s="1">
        <v>1.0</v>
      </c>
    </row>
    <row r="51">
      <c r="A51" s="1" t="s">
        <v>260</v>
      </c>
      <c r="B51" s="1" t="s">
        <v>14</v>
      </c>
      <c r="C51" s="1" t="s">
        <v>30</v>
      </c>
      <c r="D51" s="4">
        <v>40399.0</v>
      </c>
      <c r="E51" s="4">
        <v>45426.0</v>
      </c>
      <c r="F51" s="1" t="s">
        <v>261</v>
      </c>
      <c r="G51" s="1" t="s">
        <v>262</v>
      </c>
      <c r="H51" s="1" t="s">
        <v>1120</v>
      </c>
      <c r="I51" s="27">
        <v>45426.25</v>
      </c>
      <c r="J51" s="1" t="s">
        <v>263</v>
      </c>
      <c r="K51" s="1" t="s">
        <v>1121</v>
      </c>
      <c r="L51" s="1" t="s">
        <v>1122</v>
      </c>
    </row>
    <row r="52">
      <c r="A52" s="1" t="s">
        <v>266</v>
      </c>
      <c r="B52" s="1" t="s">
        <v>14</v>
      </c>
      <c r="C52" s="1" t="s">
        <v>30</v>
      </c>
      <c r="D52" s="4">
        <v>44697.0</v>
      </c>
      <c r="E52" s="4">
        <v>45426.0</v>
      </c>
      <c r="F52" s="1" t="s">
        <v>261</v>
      </c>
      <c r="G52" s="1" t="s">
        <v>262</v>
      </c>
      <c r="H52" s="1" t="s">
        <v>1120</v>
      </c>
      <c r="I52" s="27">
        <v>45426.25</v>
      </c>
      <c r="J52" s="1" t="s">
        <v>1123</v>
      </c>
      <c r="K52" s="1" t="s">
        <v>1124</v>
      </c>
      <c r="L52" s="1" t="s">
        <v>1125</v>
      </c>
      <c r="N52" s="1">
        <v>1.0</v>
      </c>
    </row>
    <row r="53">
      <c r="A53" s="1" t="s">
        <v>235</v>
      </c>
      <c r="B53" s="1" t="s">
        <v>14</v>
      </c>
      <c r="C53" s="1" t="s">
        <v>30</v>
      </c>
      <c r="D53" s="4">
        <v>40399.0</v>
      </c>
      <c r="E53" s="4">
        <v>44456.0</v>
      </c>
      <c r="F53" s="1" t="s">
        <v>236</v>
      </c>
      <c r="G53" s="1" t="s">
        <v>237</v>
      </c>
      <c r="H53" s="1" t="s">
        <v>1126</v>
      </c>
      <c r="I53" s="1" t="s">
        <v>136</v>
      </c>
      <c r="J53" s="1" t="s">
        <v>136</v>
      </c>
      <c r="K53" s="1" t="s">
        <v>136</v>
      </c>
      <c r="L53" s="1"/>
    </row>
    <row r="54">
      <c r="A54" s="1" t="s">
        <v>241</v>
      </c>
      <c r="B54" s="1" t="s">
        <v>14</v>
      </c>
      <c r="C54" s="1" t="s">
        <v>30</v>
      </c>
      <c r="D54" s="4">
        <v>43242.0</v>
      </c>
      <c r="E54" s="4">
        <v>45153.0</v>
      </c>
      <c r="F54" s="1" t="s">
        <v>236</v>
      </c>
      <c r="G54" s="1" t="s">
        <v>237</v>
      </c>
      <c r="H54" s="1" t="s">
        <v>1126</v>
      </c>
      <c r="I54" s="27">
        <v>45152.75</v>
      </c>
      <c r="J54" s="1" t="s">
        <v>1127</v>
      </c>
      <c r="K54" s="1" t="s">
        <v>1128</v>
      </c>
      <c r="L54" s="1" t="s">
        <v>1129</v>
      </c>
      <c r="N54" s="1">
        <v>1.0</v>
      </c>
    </row>
    <row r="55">
      <c r="A55" s="1" t="s">
        <v>85</v>
      </c>
      <c r="B55" s="1" t="s">
        <v>79</v>
      </c>
      <c r="C55" s="1" t="s">
        <v>30</v>
      </c>
      <c r="D55" s="4">
        <v>44708.0</v>
      </c>
      <c r="E55" s="4">
        <v>45426.0</v>
      </c>
      <c r="F55" s="1" t="s">
        <v>86</v>
      </c>
      <c r="G55" s="1" t="s">
        <v>1130</v>
      </c>
      <c r="H55" s="1" t="s">
        <v>88</v>
      </c>
      <c r="I55" s="27">
        <v>45426.25</v>
      </c>
      <c r="J55" s="1" t="s">
        <v>1131</v>
      </c>
      <c r="K55" s="1" t="s">
        <v>1132</v>
      </c>
      <c r="L55" s="22">
        <v>65501.0</v>
      </c>
      <c r="M55" s="1">
        <v>1.0</v>
      </c>
    </row>
    <row r="56">
      <c r="A56" s="1" t="s">
        <v>316</v>
      </c>
      <c r="B56" s="1" t="s">
        <v>14</v>
      </c>
      <c r="C56" s="1" t="s">
        <v>30</v>
      </c>
      <c r="D56" s="4">
        <v>40042.0</v>
      </c>
      <c r="E56" s="4">
        <v>45426.0</v>
      </c>
      <c r="F56" s="1" t="s">
        <v>317</v>
      </c>
      <c r="G56" s="1" t="s">
        <v>318</v>
      </c>
      <c r="H56" s="1" t="s">
        <v>1133</v>
      </c>
      <c r="I56" s="27">
        <v>45426.25</v>
      </c>
      <c r="J56" s="1" t="s">
        <v>1134</v>
      </c>
      <c r="K56" s="1" t="s">
        <v>1135</v>
      </c>
      <c r="L56" s="1" t="s">
        <v>1136</v>
      </c>
      <c r="N56" s="1">
        <v>1.0</v>
      </c>
    </row>
    <row r="57">
      <c r="A57" s="1" t="s">
        <v>202</v>
      </c>
      <c r="B57" s="1" t="s">
        <v>14</v>
      </c>
      <c r="C57" s="1" t="s">
        <v>30</v>
      </c>
      <c r="D57" s="4">
        <v>40043.0</v>
      </c>
      <c r="E57" s="4">
        <v>45426.0</v>
      </c>
      <c r="F57" s="1" t="s">
        <v>203</v>
      </c>
      <c r="G57" s="1" t="s">
        <v>204</v>
      </c>
      <c r="H57" s="1" t="s">
        <v>1137</v>
      </c>
      <c r="I57" s="27">
        <v>45426.25</v>
      </c>
      <c r="J57" s="1" t="s">
        <v>1138</v>
      </c>
      <c r="K57" s="1" t="s">
        <v>1139</v>
      </c>
      <c r="L57" s="1" t="s">
        <v>1140</v>
      </c>
      <c r="N57" s="1">
        <v>1.0</v>
      </c>
    </row>
    <row r="58">
      <c r="A58" s="1" t="s">
        <v>13</v>
      </c>
      <c r="B58" s="1" t="s">
        <v>14</v>
      </c>
      <c r="C58" s="1" t="s">
        <v>15</v>
      </c>
      <c r="D58" s="4">
        <v>43939.0</v>
      </c>
      <c r="E58" s="4">
        <v>45426.0</v>
      </c>
      <c r="F58" s="1" t="s">
        <v>16</v>
      </c>
      <c r="G58" s="26">
        <v>2214648.0</v>
      </c>
      <c r="H58" s="1" t="s">
        <v>18</v>
      </c>
      <c r="I58" s="27">
        <v>45426.25</v>
      </c>
      <c r="J58" s="1" t="s">
        <v>1141</v>
      </c>
      <c r="K58" s="1" t="s">
        <v>1142</v>
      </c>
      <c r="L58" s="1" t="s">
        <v>1143</v>
      </c>
    </row>
    <row r="59">
      <c r="A59" s="1" t="s">
        <v>126</v>
      </c>
      <c r="B59" s="1" t="s">
        <v>14</v>
      </c>
      <c r="C59" s="1" t="s">
        <v>127</v>
      </c>
      <c r="D59" s="4">
        <v>44741.0</v>
      </c>
      <c r="E59" s="4">
        <v>45426.0</v>
      </c>
      <c r="F59" s="1" t="s">
        <v>128</v>
      </c>
      <c r="G59" s="1" t="s">
        <v>129</v>
      </c>
      <c r="H59" s="24">
        <v>45548.0</v>
      </c>
      <c r="I59" s="27">
        <v>45426.25</v>
      </c>
      <c r="J59" s="1" t="s">
        <v>1144</v>
      </c>
      <c r="K59" s="1" t="s">
        <v>131</v>
      </c>
      <c r="L59" s="24">
        <v>45489.0</v>
      </c>
      <c r="P59" s="1">
        <v>1.0</v>
      </c>
    </row>
    <row r="60">
      <c r="A60" s="1" t="s">
        <v>725</v>
      </c>
      <c r="B60" s="1" t="s">
        <v>14</v>
      </c>
      <c r="C60" s="1" t="s">
        <v>30</v>
      </c>
      <c r="D60" s="4">
        <v>45031.0</v>
      </c>
      <c r="E60" s="4">
        <v>45426.0</v>
      </c>
      <c r="F60" s="1" t="s">
        <v>128</v>
      </c>
      <c r="G60" s="1" t="s">
        <v>129</v>
      </c>
      <c r="H60" s="24">
        <v>45548.0</v>
      </c>
      <c r="I60" s="27">
        <v>45426.25</v>
      </c>
      <c r="J60" s="1" t="s">
        <v>1145</v>
      </c>
      <c r="K60" s="1" t="s">
        <v>1146</v>
      </c>
      <c r="L60" s="1" t="s">
        <v>1147</v>
      </c>
      <c r="P60" s="1">
        <v>1.0</v>
      </c>
    </row>
    <row r="61">
      <c r="A61" s="1" t="s">
        <v>1148</v>
      </c>
      <c r="B61" s="1" t="s">
        <v>79</v>
      </c>
      <c r="C61" s="1" t="s">
        <v>22</v>
      </c>
      <c r="D61" s="4">
        <v>45041.0</v>
      </c>
      <c r="E61" s="4">
        <v>45426.0</v>
      </c>
      <c r="F61" s="1" t="s">
        <v>1149</v>
      </c>
      <c r="G61" s="1" t="s">
        <v>1150</v>
      </c>
      <c r="H61" s="22" t="s">
        <v>1151</v>
      </c>
      <c r="I61" s="27">
        <v>45426.25</v>
      </c>
      <c r="J61" s="1" t="s">
        <v>1149</v>
      </c>
      <c r="K61" s="1" t="s">
        <v>1150</v>
      </c>
      <c r="L61" s="22" t="s">
        <v>1152</v>
      </c>
      <c r="P61" s="1">
        <v>1.0</v>
      </c>
    </row>
    <row r="62">
      <c r="A62" s="1" t="s">
        <v>51</v>
      </c>
      <c r="B62" s="1" t="s">
        <v>14</v>
      </c>
      <c r="C62" s="1" t="s">
        <v>22</v>
      </c>
      <c r="D62" s="4">
        <v>39536.0</v>
      </c>
      <c r="E62" s="4">
        <v>40310.0</v>
      </c>
      <c r="F62" s="1" t="s">
        <v>52</v>
      </c>
      <c r="G62" s="1" t="s">
        <v>56</v>
      </c>
      <c r="H62" s="1" t="s">
        <v>54</v>
      </c>
      <c r="I62" s="1" t="s">
        <v>136</v>
      </c>
      <c r="J62" s="1" t="s">
        <v>136</v>
      </c>
      <c r="K62" s="1" t="s">
        <v>136</v>
      </c>
      <c r="L62" s="1"/>
    </row>
    <row r="63">
      <c r="A63" s="1" t="s">
        <v>1153</v>
      </c>
      <c r="B63" s="1" t="s">
        <v>14</v>
      </c>
      <c r="C63" s="1" t="s">
        <v>22</v>
      </c>
      <c r="D63" s="4">
        <v>44671.0</v>
      </c>
      <c r="E63" s="4">
        <v>45426.0</v>
      </c>
      <c r="F63" s="1" t="s">
        <v>52</v>
      </c>
      <c r="G63" s="1" t="s">
        <v>56</v>
      </c>
      <c r="H63" s="1" t="s">
        <v>54</v>
      </c>
      <c r="I63" s="27">
        <v>45426.25</v>
      </c>
      <c r="J63" s="1" t="s">
        <v>1154</v>
      </c>
      <c r="K63" s="1" t="s">
        <v>1155</v>
      </c>
      <c r="L63" s="1" t="s">
        <v>1156</v>
      </c>
      <c r="P63" s="1">
        <v>1.0</v>
      </c>
    </row>
    <row r="64">
      <c r="A64" s="1" t="s">
        <v>58</v>
      </c>
      <c r="B64" s="1" t="s">
        <v>14</v>
      </c>
      <c r="C64" s="1" t="s">
        <v>22</v>
      </c>
      <c r="D64" s="4">
        <v>43720.0</v>
      </c>
      <c r="E64" s="4">
        <v>44712.0</v>
      </c>
      <c r="F64" s="1" t="s">
        <v>59</v>
      </c>
      <c r="G64" s="1" t="s">
        <v>60</v>
      </c>
      <c r="H64" s="1" t="s">
        <v>61</v>
      </c>
      <c r="I64" s="27">
        <v>44712.375</v>
      </c>
      <c r="J64" s="1" t="s">
        <v>62</v>
      </c>
      <c r="K64" s="1" t="s">
        <v>63</v>
      </c>
      <c r="L64" s="1" t="s">
        <v>64</v>
      </c>
    </row>
    <row r="65">
      <c r="A65" s="1" t="s">
        <v>44</v>
      </c>
      <c r="B65" s="1" t="s">
        <v>14</v>
      </c>
      <c r="C65" s="1" t="s">
        <v>22</v>
      </c>
      <c r="D65" s="4">
        <v>44672.0</v>
      </c>
      <c r="E65" s="4">
        <v>45426.0</v>
      </c>
      <c r="F65" s="1" t="s">
        <v>45</v>
      </c>
      <c r="G65" s="1" t="s">
        <v>46</v>
      </c>
      <c r="H65" s="1" t="s">
        <v>47</v>
      </c>
      <c r="I65" s="27">
        <v>45426.25</v>
      </c>
      <c r="J65" s="1" t="s">
        <v>1157</v>
      </c>
      <c r="K65" s="1" t="s">
        <v>1158</v>
      </c>
      <c r="L65" s="1" t="s">
        <v>1159</v>
      </c>
      <c r="P65" s="1">
        <v>1.0</v>
      </c>
    </row>
    <row r="66">
      <c r="M66" s="8">
        <f t="shared" ref="M66:P66" si="1">SUM(M2:M65)</f>
        <v>14</v>
      </c>
      <c r="N66" s="8">
        <f t="shared" si="1"/>
        <v>18</v>
      </c>
      <c r="O66" s="8">
        <f t="shared" si="1"/>
        <v>3</v>
      </c>
      <c r="P66" s="8">
        <f t="shared" si="1"/>
        <v>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0.25"/>
    <col customWidth="1" min="3" max="3" width="16.38"/>
    <col customWidth="1" min="4" max="4" width="40.63"/>
    <col customWidth="1" min="5" max="5" width="11.5"/>
    <col customWidth="1" min="6" max="7" width="19.63"/>
    <col customWidth="1" min="8" max="8" width="26.75"/>
    <col customWidth="1" min="9" max="9" width="29.25"/>
    <col customWidth="1" min="10" max="10" width="28.0"/>
    <col customWidth="1" min="11" max="11" width="30.5"/>
    <col customWidth="1" min="12" max="12" width="46.0"/>
  </cols>
  <sheetData>
    <row r="1">
      <c r="A1" s="28" t="s">
        <v>1160</v>
      </c>
      <c r="B1" s="29" t="s">
        <v>1161</v>
      </c>
      <c r="C1" s="30" t="s">
        <v>1162</v>
      </c>
      <c r="D1" s="29" t="s">
        <v>1163</v>
      </c>
      <c r="E1" s="29" t="s">
        <v>1164</v>
      </c>
      <c r="F1" s="29" t="s">
        <v>1165</v>
      </c>
      <c r="G1" s="29" t="s">
        <v>1166</v>
      </c>
      <c r="H1" s="29" t="s">
        <v>1167</v>
      </c>
      <c r="I1" s="29" t="s">
        <v>1168</v>
      </c>
      <c r="J1" s="29" t="s">
        <v>1169</v>
      </c>
      <c r="K1" s="29" t="s">
        <v>1170</v>
      </c>
      <c r="L1" s="29" t="s">
        <v>1164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</row>
    <row r="2">
      <c r="A2" s="32" t="s">
        <v>1171</v>
      </c>
      <c r="B2" s="33" t="s">
        <v>257</v>
      </c>
      <c r="C2" s="33"/>
      <c r="D2" s="34" t="s">
        <v>1172</v>
      </c>
      <c r="E2" s="33"/>
      <c r="F2" s="33"/>
      <c r="G2" s="33">
        <v>6.0</v>
      </c>
      <c r="H2" s="35"/>
      <c r="I2" s="35"/>
      <c r="J2" s="35"/>
      <c r="K2" s="35"/>
      <c r="L2" s="33" t="s">
        <v>1173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>
      <c r="A3" s="32" t="s">
        <v>1174</v>
      </c>
      <c r="B3" s="33" t="s">
        <v>310</v>
      </c>
      <c r="C3" s="33"/>
      <c r="D3" s="33"/>
      <c r="E3" s="33"/>
      <c r="F3" s="33"/>
      <c r="G3" s="33"/>
      <c r="H3" s="35"/>
      <c r="I3" s="35"/>
      <c r="J3" s="35"/>
      <c r="K3" s="35"/>
      <c r="L3" s="36" t="s">
        <v>1175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>
      <c r="A4" s="32" t="s">
        <v>1176</v>
      </c>
      <c r="B4" s="33" t="s">
        <v>270</v>
      </c>
      <c r="C4" s="33"/>
      <c r="D4" s="34" t="s">
        <v>1177</v>
      </c>
      <c r="E4" s="33"/>
      <c r="F4" s="33"/>
      <c r="G4" s="33">
        <v>6.0</v>
      </c>
      <c r="H4" s="35"/>
      <c r="I4" s="35"/>
      <c r="J4" s="35"/>
      <c r="K4" s="35"/>
      <c r="L4" s="36" t="s">
        <v>1178</v>
      </c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>
      <c r="A5" s="32" t="s">
        <v>1176</v>
      </c>
      <c r="B5" s="33" t="s">
        <v>179</v>
      </c>
      <c r="C5" s="33"/>
      <c r="D5" s="34" t="s">
        <v>1179</v>
      </c>
      <c r="E5" s="33"/>
      <c r="F5" s="33"/>
      <c r="G5" s="33">
        <v>6.0</v>
      </c>
      <c r="H5" s="35"/>
      <c r="I5" s="35"/>
      <c r="J5" s="35"/>
      <c r="K5" s="35"/>
      <c r="L5" s="36" t="s">
        <v>1178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>
      <c r="A6" s="32" t="s">
        <v>1180</v>
      </c>
      <c r="B6" s="33" t="s">
        <v>300</v>
      </c>
      <c r="C6" s="33"/>
      <c r="D6" s="34" t="s">
        <v>1181</v>
      </c>
      <c r="E6" s="33"/>
      <c r="F6" s="33"/>
      <c r="G6" s="33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>
      <c r="A7" s="37" t="s">
        <v>1182</v>
      </c>
      <c r="B7" s="38" t="s">
        <v>287</v>
      </c>
      <c r="C7" s="38"/>
      <c r="D7" s="38" t="s">
        <v>1183</v>
      </c>
      <c r="E7" s="38"/>
      <c r="F7" s="38"/>
      <c r="G7" s="38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</row>
    <row r="8">
      <c r="A8" s="37" t="s">
        <v>1182</v>
      </c>
      <c r="B8" s="38" t="s">
        <v>226</v>
      </c>
      <c r="C8" s="39"/>
      <c r="D8" s="39"/>
      <c r="E8" s="38"/>
      <c r="F8" s="38"/>
      <c r="G8" s="38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</row>
    <row r="9">
      <c r="A9" s="37" t="s">
        <v>1184</v>
      </c>
      <c r="B9" s="38" t="s">
        <v>197</v>
      </c>
      <c r="C9" s="38"/>
      <c r="D9" s="38"/>
      <c r="E9" s="38"/>
      <c r="F9" s="38"/>
      <c r="G9" s="38"/>
      <c r="H9" s="39"/>
      <c r="I9" s="39"/>
      <c r="J9" s="39"/>
      <c r="K9" s="39"/>
      <c r="L9" s="38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</row>
    <row r="10">
      <c r="A10" s="37" t="s">
        <v>1185</v>
      </c>
      <c r="B10" s="38" t="s">
        <v>276</v>
      </c>
      <c r="C10" s="38"/>
      <c r="D10" s="38"/>
      <c r="E10" s="38"/>
      <c r="F10" s="38"/>
      <c r="G10" s="38"/>
      <c r="H10" s="39"/>
      <c r="I10" s="39"/>
      <c r="J10" s="39"/>
      <c r="K10" s="39"/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</row>
    <row r="11">
      <c r="A11" s="37" t="s">
        <v>1186</v>
      </c>
      <c r="B11" s="38" t="s">
        <v>270</v>
      </c>
      <c r="C11" s="38">
        <v>432.0</v>
      </c>
      <c r="D11" s="38" t="s">
        <v>1187</v>
      </c>
      <c r="E11" s="38"/>
      <c r="F11" s="38"/>
      <c r="G11" s="38"/>
      <c r="H11" s="39"/>
      <c r="I11" s="39"/>
      <c r="J11" s="39"/>
      <c r="K11" s="39"/>
      <c r="L11" s="38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</row>
    <row r="12">
      <c r="A12" s="37" t="s">
        <v>1186</v>
      </c>
      <c r="B12" s="38" t="s">
        <v>179</v>
      </c>
      <c r="C12" s="38">
        <v>206.0</v>
      </c>
      <c r="D12" s="38"/>
      <c r="E12" s="38"/>
      <c r="F12" s="38"/>
      <c r="G12" s="38"/>
      <c r="H12" s="39"/>
      <c r="I12" s="39"/>
      <c r="J12" s="39"/>
      <c r="K12" s="39"/>
      <c r="L12" s="38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</row>
    <row r="13">
      <c r="A13" s="37" t="s">
        <v>1188</v>
      </c>
      <c r="B13" s="38" t="s">
        <v>300</v>
      </c>
      <c r="C13" s="38"/>
      <c r="D13" s="38" t="s">
        <v>1189</v>
      </c>
      <c r="E13" s="38"/>
      <c r="F13" s="38"/>
      <c r="G13" s="38"/>
      <c r="H13" s="39"/>
      <c r="I13" s="39"/>
      <c r="J13" s="39"/>
      <c r="K13" s="39"/>
      <c r="L13" s="38" t="s">
        <v>1190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</row>
    <row r="14">
      <c r="A14" s="37" t="s">
        <v>1188</v>
      </c>
      <c r="B14" s="38" t="s">
        <v>211</v>
      </c>
      <c r="C14" s="38"/>
      <c r="D14" s="38" t="s">
        <v>1187</v>
      </c>
      <c r="E14" s="38"/>
      <c r="F14" s="38"/>
      <c r="G14" s="38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>
      <c r="A15" s="37" t="s">
        <v>1191</v>
      </c>
      <c r="B15" s="38" t="s">
        <v>251</v>
      </c>
      <c r="C15" s="38"/>
      <c r="D15" s="38" t="s">
        <v>1187</v>
      </c>
      <c r="E15" s="38"/>
      <c r="F15" s="38"/>
      <c r="G15" s="38">
        <v>15.0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>
      <c r="A16" s="37" t="s">
        <v>1192</v>
      </c>
      <c r="B16" s="38" t="s">
        <v>167</v>
      </c>
      <c r="C16" s="38"/>
      <c r="D16" s="38"/>
      <c r="E16" s="38"/>
      <c r="F16" s="38"/>
      <c r="G16" s="38" t="s">
        <v>1193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>
      <c r="A17" s="40" t="s">
        <v>1194</v>
      </c>
      <c r="B17" s="41" t="s">
        <v>251</v>
      </c>
      <c r="C17" s="41"/>
      <c r="D17" s="41"/>
      <c r="E17" s="42"/>
      <c r="F17" s="42"/>
      <c r="G17" s="42"/>
      <c r="H17" s="41"/>
      <c r="I17" s="41"/>
      <c r="J17" s="41"/>
      <c r="K17" s="41"/>
      <c r="L17" s="41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</row>
    <row r="18">
      <c r="A18" s="40" t="s">
        <v>1195</v>
      </c>
      <c r="B18" s="41" t="s">
        <v>167</v>
      </c>
      <c r="C18" s="41"/>
      <c r="D18" s="41" t="s">
        <v>1196</v>
      </c>
      <c r="E18" s="42"/>
      <c r="F18" s="42"/>
      <c r="G18" s="42"/>
      <c r="H18" s="41"/>
      <c r="I18" s="41"/>
      <c r="J18" s="41"/>
      <c r="K18" s="41"/>
      <c r="L18" s="41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</row>
    <row r="19">
      <c r="A19" s="40" t="s">
        <v>1197</v>
      </c>
      <c r="B19" s="41" t="s">
        <v>162</v>
      </c>
      <c r="C19" s="41"/>
      <c r="D19" s="41" t="s">
        <v>1198</v>
      </c>
      <c r="E19" s="42"/>
      <c r="F19" s="42"/>
      <c r="G19" s="42"/>
      <c r="H19" s="41"/>
      <c r="I19" s="41"/>
      <c r="J19" s="41"/>
      <c r="K19" s="41"/>
      <c r="L19" s="41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</row>
    <row r="20">
      <c r="A20" s="40" t="s">
        <v>1199</v>
      </c>
      <c r="B20" s="41" t="s">
        <v>316</v>
      </c>
      <c r="C20" s="41"/>
      <c r="D20" s="41" t="s">
        <v>1187</v>
      </c>
      <c r="E20" s="42"/>
      <c r="F20" s="42"/>
      <c r="G20" s="42"/>
      <c r="H20" s="41"/>
      <c r="I20" s="41"/>
      <c r="J20" s="41"/>
      <c r="K20" s="41"/>
      <c r="L20" s="41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</row>
    <row r="21">
      <c r="A21" s="40" t="s">
        <v>1199</v>
      </c>
      <c r="B21" s="41" t="s">
        <v>202</v>
      </c>
      <c r="C21" s="41"/>
      <c r="D21" s="41" t="s">
        <v>1200</v>
      </c>
      <c r="E21" s="42"/>
      <c r="F21" s="42"/>
      <c r="G21" s="42"/>
      <c r="H21" s="41"/>
      <c r="I21" s="41"/>
      <c r="J21" s="41"/>
      <c r="K21" s="41"/>
      <c r="L21" s="41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</row>
    <row r="22">
      <c r="A22" s="40" t="s">
        <v>1201</v>
      </c>
      <c r="B22" s="41" t="s">
        <v>270</v>
      </c>
      <c r="C22" s="41">
        <v>600.0</v>
      </c>
      <c r="D22" s="41" t="s">
        <v>1202</v>
      </c>
      <c r="E22" s="42"/>
      <c r="F22" s="42"/>
      <c r="G22" s="42"/>
      <c r="H22" s="41"/>
      <c r="I22" s="41"/>
      <c r="J22" s="41"/>
      <c r="K22" s="41"/>
      <c r="L22" s="41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</row>
    <row r="23">
      <c r="A23" s="40" t="s">
        <v>1201</v>
      </c>
      <c r="B23" s="41" t="s">
        <v>179</v>
      </c>
      <c r="C23" s="41"/>
      <c r="D23" s="41" t="s">
        <v>1187</v>
      </c>
      <c r="E23" s="42"/>
      <c r="F23" s="42"/>
      <c r="G23" s="42"/>
      <c r="H23" s="41"/>
      <c r="I23" s="41"/>
      <c r="J23" s="41"/>
      <c r="K23" s="41"/>
      <c r="L23" s="41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</row>
    <row r="24">
      <c r="A24" s="40" t="s">
        <v>1203</v>
      </c>
      <c r="B24" s="41" t="s">
        <v>300</v>
      </c>
      <c r="C24" s="41"/>
      <c r="D24" s="41" t="s">
        <v>1204</v>
      </c>
      <c r="E24" s="42"/>
      <c r="F24" s="42"/>
      <c r="G24" s="42"/>
      <c r="H24" s="41"/>
      <c r="I24" s="41"/>
      <c r="J24" s="41"/>
      <c r="K24" s="41"/>
      <c r="L24" s="41" t="s">
        <v>1205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</row>
    <row r="25">
      <c r="A25" s="40" t="s">
        <v>1203</v>
      </c>
      <c r="B25" s="41" t="s">
        <v>211</v>
      </c>
      <c r="C25" s="41"/>
      <c r="D25" s="41"/>
      <c r="E25" s="42"/>
      <c r="F25" s="42"/>
      <c r="G25" s="42"/>
      <c r="H25" s="41"/>
      <c r="I25" s="41"/>
      <c r="J25" s="41"/>
      <c r="K25" s="41"/>
      <c r="L25" s="41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</row>
    <row r="26">
      <c r="A26" s="43" t="s">
        <v>1206</v>
      </c>
      <c r="B26" s="44" t="s">
        <v>300</v>
      </c>
      <c r="C26" s="44">
        <v>577.0</v>
      </c>
      <c r="D26" s="44" t="s">
        <v>1187</v>
      </c>
      <c r="E26" s="45"/>
      <c r="F26" s="45"/>
      <c r="G26" s="45"/>
      <c r="H26" s="44"/>
      <c r="I26" s="44"/>
      <c r="J26" s="44"/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>
      <c r="A27" s="43" t="s">
        <v>1207</v>
      </c>
      <c r="B27" s="44" t="s">
        <v>211</v>
      </c>
      <c r="C27" s="44"/>
      <c r="D27" s="44" t="s">
        <v>1187</v>
      </c>
      <c r="E27" s="45"/>
      <c r="F27" s="45"/>
      <c r="G27" s="45"/>
      <c r="H27" s="44"/>
      <c r="I27" s="44"/>
      <c r="J27" s="44"/>
      <c r="K27" s="44"/>
      <c r="L27" s="44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>
      <c r="A28" s="43" t="s">
        <v>1208</v>
      </c>
      <c r="B28" s="44" t="s">
        <v>179</v>
      </c>
      <c r="C28" s="44"/>
      <c r="D28" s="44" t="s">
        <v>1187</v>
      </c>
      <c r="E28" s="45"/>
      <c r="F28" s="45"/>
      <c r="G28" s="45"/>
      <c r="H28" s="44"/>
      <c r="I28" s="44"/>
      <c r="J28" s="44"/>
      <c r="K28" s="44"/>
      <c r="L28" s="44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>
      <c r="A29" s="43" t="s">
        <v>1209</v>
      </c>
      <c r="B29" s="44" t="s">
        <v>208</v>
      </c>
      <c r="C29" s="44"/>
      <c r="D29" s="44"/>
      <c r="E29" s="45"/>
      <c r="F29" s="45"/>
      <c r="G29" s="45"/>
      <c r="H29" s="44"/>
      <c r="I29" s="44"/>
      <c r="J29" s="44"/>
      <c r="K29" s="44"/>
      <c r="L29" s="44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>
      <c r="A30" s="43" t="s">
        <v>1209</v>
      </c>
      <c r="B30" s="44" t="s">
        <v>270</v>
      </c>
      <c r="C30" s="44"/>
      <c r="D30" s="44" t="s">
        <v>1187</v>
      </c>
      <c r="E30" s="45"/>
      <c r="F30" s="45"/>
      <c r="G30" s="45"/>
      <c r="H30" s="44"/>
      <c r="I30" s="44"/>
      <c r="J30" s="44"/>
      <c r="K30" s="44"/>
      <c r="L30" s="44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>
      <c r="A31" s="43" t="s">
        <v>1210</v>
      </c>
      <c r="B31" s="44" t="s">
        <v>197</v>
      </c>
      <c r="C31" s="44">
        <v>350.0</v>
      </c>
      <c r="D31" s="44" t="s">
        <v>1187</v>
      </c>
      <c r="E31" s="45"/>
      <c r="F31" s="45"/>
      <c r="G31" s="45"/>
      <c r="H31" s="44"/>
      <c r="I31" s="44"/>
      <c r="J31" s="44"/>
      <c r="K31" s="44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>
      <c r="A32" s="43" t="s">
        <v>1210</v>
      </c>
      <c r="B32" s="44" t="s">
        <v>276</v>
      </c>
      <c r="C32" s="44">
        <v>610.0</v>
      </c>
      <c r="D32" s="44" t="s">
        <v>1211</v>
      </c>
      <c r="E32" s="45"/>
      <c r="F32" s="45"/>
      <c r="G32" s="45"/>
      <c r="H32" s="44"/>
      <c r="I32" s="44"/>
      <c r="J32" s="44"/>
      <c r="K32" s="44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>
      <c r="A33" s="43" t="s">
        <v>1212</v>
      </c>
      <c r="B33" s="44" t="s">
        <v>310</v>
      </c>
      <c r="C33" s="44">
        <v>940.0</v>
      </c>
      <c r="D33" s="44" t="s">
        <v>1213</v>
      </c>
      <c r="E33" s="45"/>
      <c r="F33" s="45"/>
      <c r="G33" s="45"/>
      <c r="H33" s="44"/>
      <c r="I33" s="44"/>
      <c r="J33" s="44"/>
      <c r="K33" s="44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>
      <c r="A34" s="43" t="s">
        <v>1214</v>
      </c>
      <c r="B34" s="44" t="s">
        <v>257</v>
      </c>
      <c r="C34" s="44"/>
      <c r="D34" s="44" t="s">
        <v>1215</v>
      </c>
      <c r="E34" s="45"/>
      <c r="F34" s="45"/>
      <c r="G34" s="45"/>
      <c r="H34" s="44"/>
      <c r="I34" s="44"/>
      <c r="J34" s="44"/>
      <c r="K34" s="44"/>
      <c r="L34" s="44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>
      <c r="A35" s="43" t="s">
        <v>1216</v>
      </c>
      <c r="B35" s="44" t="s">
        <v>281</v>
      </c>
      <c r="C35" s="44">
        <v>580.0</v>
      </c>
      <c r="D35" s="44"/>
      <c r="E35" s="45"/>
      <c r="F35" s="45"/>
      <c r="G35" s="45"/>
      <c r="H35" s="44"/>
      <c r="I35" s="44"/>
      <c r="J35" s="44"/>
      <c r="K35" s="44"/>
      <c r="L35" s="44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</row>
    <row r="36">
      <c r="A36" s="43" t="s">
        <v>1217</v>
      </c>
      <c r="B36" s="44" t="s">
        <v>167</v>
      </c>
      <c r="C36" s="44"/>
      <c r="D36" s="44" t="s">
        <v>1187</v>
      </c>
      <c r="E36" s="45"/>
      <c r="F36" s="45"/>
      <c r="G36" s="45"/>
      <c r="H36" s="44"/>
      <c r="I36" s="44"/>
      <c r="J36" s="44"/>
      <c r="K36" s="44"/>
      <c r="L36" s="44" t="s">
        <v>1218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</row>
    <row r="37">
      <c r="A37" s="43" t="s">
        <v>1217</v>
      </c>
      <c r="B37" s="44" t="s">
        <v>251</v>
      </c>
      <c r="C37" s="44"/>
      <c r="D37" s="44" t="s">
        <v>1187</v>
      </c>
      <c r="E37" s="45"/>
      <c r="F37" s="45"/>
      <c r="G37" s="45"/>
      <c r="H37" s="44"/>
      <c r="I37" s="44"/>
      <c r="J37" s="44"/>
      <c r="K37" s="44"/>
      <c r="L37" s="44" t="s">
        <v>1218</v>
      </c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>
      <c r="A38" s="43" t="s">
        <v>1219</v>
      </c>
      <c r="B38" s="44" t="s">
        <v>235</v>
      </c>
      <c r="C38" s="44"/>
      <c r="D38" s="44" t="s">
        <v>1187</v>
      </c>
      <c r="E38" s="45"/>
      <c r="F38" s="45"/>
      <c r="G38" s="45"/>
      <c r="H38" s="44"/>
      <c r="I38" s="44"/>
      <c r="J38" s="44"/>
      <c r="K38" s="44"/>
      <c r="L38" s="44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</row>
    <row r="39">
      <c r="A39" s="46" t="s">
        <v>1220</v>
      </c>
      <c r="B39" s="47" t="s">
        <v>316</v>
      </c>
      <c r="C39" s="47">
        <v>600.0</v>
      </c>
      <c r="D39" s="47"/>
      <c r="E39" s="48"/>
      <c r="F39" s="48"/>
      <c r="G39" s="48"/>
      <c r="H39" s="47"/>
      <c r="I39" s="47"/>
      <c r="J39" s="47"/>
      <c r="K39" s="47"/>
      <c r="L39" s="47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</row>
    <row r="40">
      <c r="A40" s="46" t="s">
        <v>1221</v>
      </c>
      <c r="B40" s="47" t="s">
        <v>202</v>
      </c>
      <c r="C40" s="47">
        <v>500.0</v>
      </c>
      <c r="D40" s="47"/>
      <c r="E40" s="48"/>
      <c r="F40" s="48"/>
      <c r="G40" s="48"/>
      <c r="H40" s="47"/>
      <c r="I40" s="47"/>
      <c r="J40" s="47"/>
      <c r="K40" s="47"/>
      <c r="L40" s="47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</row>
    <row r="41">
      <c r="A41" s="46" t="s">
        <v>1222</v>
      </c>
      <c r="B41" s="47" t="s">
        <v>270</v>
      </c>
      <c r="C41" s="47">
        <v>600.0</v>
      </c>
      <c r="D41" s="47" t="s">
        <v>1187</v>
      </c>
      <c r="E41" s="48"/>
      <c r="F41" s="48"/>
      <c r="G41" s="48"/>
      <c r="H41" s="47"/>
      <c r="I41" s="47"/>
      <c r="J41" s="47"/>
      <c r="K41" s="47"/>
      <c r="L41" s="47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</row>
    <row r="42">
      <c r="A42" s="46" t="s">
        <v>1223</v>
      </c>
      <c r="B42" s="47" t="s">
        <v>208</v>
      </c>
      <c r="C42" s="47">
        <v>352.0</v>
      </c>
      <c r="D42" s="47"/>
      <c r="E42" s="48"/>
      <c r="F42" s="48"/>
      <c r="G42" s="48"/>
      <c r="H42" s="47"/>
      <c r="I42" s="47"/>
      <c r="J42" s="47"/>
      <c r="K42" s="47"/>
      <c r="L42" s="47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</row>
    <row r="43">
      <c r="A43" s="46" t="s">
        <v>1223</v>
      </c>
      <c r="B43" s="47" t="s">
        <v>179</v>
      </c>
      <c r="C43" s="47">
        <v>422.0</v>
      </c>
      <c r="D43" s="47" t="s">
        <v>1187</v>
      </c>
      <c r="E43" s="47"/>
      <c r="F43" s="47"/>
      <c r="G43" s="47"/>
      <c r="H43" s="47"/>
      <c r="I43" s="47"/>
      <c r="J43" s="47"/>
      <c r="K43" s="47"/>
      <c r="L43" s="47" t="s">
        <v>1224</v>
      </c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</row>
    <row r="44">
      <c r="A44" s="46" t="s">
        <v>1225</v>
      </c>
      <c r="B44" s="47" t="s">
        <v>300</v>
      </c>
      <c r="C44" s="47">
        <v>750.0</v>
      </c>
      <c r="D44" s="47" t="s">
        <v>1226</v>
      </c>
      <c r="E44" s="48"/>
      <c r="F44" s="48"/>
      <c r="G44" s="48"/>
      <c r="H44" s="47"/>
      <c r="I44" s="47"/>
      <c r="J44" s="47"/>
      <c r="K44" s="47"/>
      <c r="L44" s="47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</row>
    <row r="45">
      <c r="A45" s="46" t="s">
        <v>1227</v>
      </c>
      <c r="B45" s="47" t="s">
        <v>211</v>
      </c>
      <c r="C45" s="47">
        <v>249.0</v>
      </c>
      <c r="D45" s="47"/>
      <c r="E45" s="48"/>
      <c r="F45" s="48"/>
      <c r="G45" s="48"/>
      <c r="H45" s="47"/>
      <c r="I45" s="47"/>
      <c r="J45" s="47"/>
      <c r="K45" s="47"/>
      <c r="L45" s="47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</row>
    <row r="46">
      <c r="A46" s="46" t="s">
        <v>1228</v>
      </c>
      <c r="B46" s="47" t="s">
        <v>310</v>
      </c>
      <c r="C46" s="47">
        <v>465.0</v>
      </c>
      <c r="D46" s="47"/>
      <c r="E46" s="48"/>
      <c r="F46" s="48"/>
      <c r="G46" s="48"/>
      <c r="H46" s="47"/>
      <c r="I46" s="47"/>
      <c r="J46" s="47"/>
      <c r="K46" s="47"/>
      <c r="L46" s="47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</row>
    <row r="47">
      <c r="A47" s="46" t="s">
        <v>1228</v>
      </c>
      <c r="B47" s="47" t="s">
        <v>257</v>
      </c>
      <c r="C47" s="47">
        <v>360.0</v>
      </c>
      <c r="D47" s="47"/>
      <c r="E47" s="48"/>
      <c r="F47" s="48"/>
      <c r="G47" s="48"/>
      <c r="H47" s="47"/>
      <c r="I47" s="47"/>
      <c r="J47" s="47"/>
      <c r="K47" s="47"/>
      <c r="L47" s="47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</row>
    <row r="48">
      <c r="A48" s="46" t="s">
        <v>1229</v>
      </c>
      <c r="B48" s="47" t="s">
        <v>251</v>
      </c>
      <c r="C48" s="47"/>
      <c r="D48" s="47" t="s">
        <v>1230</v>
      </c>
      <c r="E48" s="48"/>
      <c r="F48" s="48"/>
      <c r="G48" s="48"/>
      <c r="H48" s="47"/>
      <c r="I48" s="47"/>
      <c r="J48" s="47"/>
      <c r="K48" s="47"/>
      <c r="L48" s="47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</row>
    <row r="49">
      <c r="A49" s="46" t="s">
        <v>1231</v>
      </c>
      <c r="B49" s="47" t="s">
        <v>167</v>
      </c>
      <c r="C49" s="47"/>
      <c r="D49" s="47" t="s">
        <v>1187</v>
      </c>
      <c r="E49" s="48"/>
      <c r="F49" s="48"/>
      <c r="G49" s="48"/>
      <c r="H49" s="47"/>
      <c r="I49" s="47"/>
      <c r="J49" s="47"/>
      <c r="K49" s="47"/>
      <c r="L49" s="47" t="s">
        <v>1232</v>
      </c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</row>
    <row r="50">
      <c r="A50" s="46" t="s">
        <v>1233</v>
      </c>
      <c r="B50" s="47" t="s">
        <v>281</v>
      </c>
      <c r="C50" s="47">
        <v>850.0</v>
      </c>
      <c r="D50" s="47"/>
      <c r="E50" s="48"/>
      <c r="F50" s="48"/>
      <c r="G50" s="48"/>
      <c r="H50" s="47"/>
      <c r="I50" s="47"/>
      <c r="J50" s="47"/>
      <c r="K50" s="47"/>
      <c r="L50" s="47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</row>
    <row r="51">
      <c r="A51" s="49" t="s">
        <v>1234</v>
      </c>
      <c r="B51" s="50" t="s">
        <v>167</v>
      </c>
      <c r="C51" s="50"/>
      <c r="D51" s="50" t="s">
        <v>1187</v>
      </c>
      <c r="E51" s="51"/>
      <c r="F51" s="51"/>
      <c r="G51" s="51"/>
      <c r="H51" s="50"/>
      <c r="I51" s="50"/>
      <c r="J51" s="50"/>
      <c r="K51" s="50"/>
      <c r="L51" s="50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</row>
    <row r="52">
      <c r="A52" s="49" t="s">
        <v>1235</v>
      </c>
      <c r="B52" s="50" t="s">
        <v>257</v>
      </c>
      <c r="C52" s="50"/>
      <c r="D52" s="50" t="s">
        <v>1236</v>
      </c>
      <c r="E52" s="51"/>
      <c r="F52" s="51"/>
      <c r="G52" s="51"/>
      <c r="H52" s="50"/>
      <c r="I52" s="50"/>
      <c r="J52" s="50"/>
      <c r="K52" s="50"/>
      <c r="L52" s="50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</row>
    <row r="53">
      <c r="A53" s="49" t="s">
        <v>1237</v>
      </c>
      <c r="B53" s="50" t="s">
        <v>251</v>
      </c>
      <c r="C53" s="50">
        <v>830.0</v>
      </c>
      <c r="D53" s="50" t="s">
        <v>1238</v>
      </c>
      <c r="E53" s="51"/>
      <c r="F53" s="51"/>
      <c r="G53" s="51"/>
      <c r="H53" s="50"/>
      <c r="I53" s="50"/>
      <c r="J53" s="50"/>
      <c r="K53" s="50"/>
      <c r="L53" s="50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</row>
    <row r="54">
      <c r="A54" s="49" t="s">
        <v>1239</v>
      </c>
      <c r="B54" s="50" t="s">
        <v>270</v>
      </c>
      <c r="C54" s="50">
        <v>625.0</v>
      </c>
      <c r="D54" s="50" t="s">
        <v>1187</v>
      </c>
      <c r="E54" s="51"/>
      <c r="F54" s="51"/>
      <c r="G54" s="51"/>
      <c r="H54" s="50"/>
      <c r="I54" s="50"/>
      <c r="J54" s="50"/>
      <c r="K54" s="50"/>
      <c r="L54" s="50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</row>
    <row r="55">
      <c r="A55" s="49" t="s">
        <v>1239</v>
      </c>
      <c r="B55" s="50" t="s">
        <v>208</v>
      </c>
      <c r="C55" s="50">
        <v>980.0</v>
      </c>
      <c r="D55" s="50" t="s">
        <v>1187</v>
      </c>
      <c r="E55" s="51"/>
      <c r="F55" s="51"/>
      <c r="G55" s="51"/>
      <c r="H55" s="50"/>
      <c r="I55" s="50"/>
      <c r="J55" s="50"/>
      <c r="K55" s="50"/>
      <c r="L55" s="50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</row>
    <row r="56">
      <c r="A56" s="49" t="s">
        <v>1240</v>
      </c>
      <c r="B56" s="50" t="s">
        <v>179</v>
      </c>
      <c r="C56" s="50">
        <v>325.0</v>
      </c>
      <c r="D56" s="50" t="s">
        <v>1187</v>
      </c>
      <c r="E56" s="51"/>
      <c r="F56" s="51"/>
      <c r="G56" s="51"/>
      <c r="H56" s="50"/>
      <c r="I56" s="50"/>
      <c r="J56" s="50"/>
      <c r="K56" s="50"/>
      <c r="L56" s="50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</row>
    <row r="57">
      <c r="A57" s="49" t="s">
        <v>1241</v>
      </c>
      <c r="B57" s="50" t="s">
        <v>194</v>
      </c>
      <c r="C57" s="50"/>
      <c r="D57" s="50" t="s">
        <v>1187</v>
      </c>
      <c r="E57" s="51"/>
      <c r="F57" s="51"/>
      <c r="G57" s="51"/>
      <c r="H57" s="50"/>
      <c r="I57" s="50"/>
      <c r="J57" s="50"/>
      <c r="K57" s="50"/>
      <c r="L57" s="50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</row>
    <row r="58">
      <c r="A58" s="49" t="s">
        <v>1242</v>
      </c>
      <c r="B58" s="50" t="s">
        <v>300</v>
      </c>
      <c r="C58" s="50">
        <v>650.0</v>
      </c>
      <c r="D58" s="50"/>
      <c r="E58" s="51"/>
      <c r="F58" s="51"/>
      <c r="G58" s="51"/>
      <c r="H58" s="50"/>
      <c r="I58" s="50"/>
      <c r="J58" s="50"/>
      <c r="K58" s="50"/>
      <c r="L58" s="50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</row>
    <row r="59">
      <c r="A59" s="49" t="s">
        <v>1242</v>
      </c>
      <c r="B59" s="50" t="s">
        <v>211</v>
      </c>
      <c r="C59" s="50">
        <v>405.0</v>
      </c>
      <c r="D59" s="50"/>
      <c r="E59" s="50"/>
      <c r="F59" s="50"/>
      <c r="G59" s="50"/>
      <c r="H59" s="50"/>
      <c r="I59" s="50"/>
      <c r="J59" s="50"/>
      <c r="K59" s="50"/>
      <c r="L59" s="50" t="s">
        <v>1243</v>
      </c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</row>
    <row r="60">
      <c r="A60" s="49" t="s">
        <v>1239</v>
      </c>
      <c r="B60" s="50" t="s">
        <v>197</v>
      </c>
      <c r="C60" s="50">
        <v>700.0</v>
      </c>
      <c r="D60" s="50" t="s">
        <v>1244</v>
      </c>
      <c r="E60" s="51"/>
      <c r="F60" s="51"/>
      <c r="G60" s="51"/>
      <c r="H60" s="50"/>
      <c r="I60" s="50"/>
      <c r="J60" s="50"/>
      <c r="K60" s="50"/>
      <c r="L60" s="50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</row>
    <row r="61">
      <c r="A61" s="49" t="s">
        <v>1245</v>
      </c>
      <c r="B61" s="50" t="s">
        <v>281</v>
      </c>
      <c r="C61" s="50"/>
      <c r="D61" s="50" t="s">
        <v>1246</v>
      </c>
      <c r="E61" s="51"/>
      <c r="F61" s="51"/>
      <c r="G61" s="51"/>
      <c r="H61" s="50"/>
      <c r="I61" s="50"/>
      <c r="J61" s="50"/>
      <c r="K61" s="50"/>
      <c r="L61" s="50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</row>
    <row r="62">
      <c r="A62" s="49" t="s">
        <v>1247</v>
      </c>
      <c r="B62" s="50" t="s">
        <v>310</v>
      </c>
      <c r="C62" s="50">
        <v>180.0</v>
      </c>
      <c r="D62" s="50" t="s">
        <v>1248</v>
      </c>
      <c r="E62" s="51"/>
      <c r="F62" s="51"/>
      <c r="G62" s="51"/>
      <c r="H62" s="50"/>
      <c r="I62" s="50"/>
      <c r="J62" s="50"/>
      <c r="K62" s="50"/>
      <c r="L62" s="50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</row>
    <row r="63">
      <c r="A63" s="49" t="s">
        <v>1245</v>
      </c>
      <c r="B63" s="50" t="s">
        <v>257</v>
      </c>
      <c r="C63" s="50">
        <v>335.0</v>
      </c>
      <c r="D63" s="50"/>
      <c r="E63" s="51"/>
      <c r="F63" s="51"/>
      <c r="G63" s="51"/>
      <c r="H63" s="50"/>
      <c r="I63" s="50"/>
      <c r="J63" s="50"/>
      <c r="K63" s="50"/>
      <c r="L63" s="50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</row>
    <row r="64">
      <c r="A64" s="52" t="s">
        <v>1249</v>
      </c>
      <c r="B64" s="50" t="s">
        <v>316</v>
      </c>
      <c r="C64" s="50"/>
      <c r="D64" s="50" t="s">
        <v>1187</v>
      </c>
      <c r="E64" s="50"/>
      <c r="F64" s="50"/>
      <c r="G64" s="50"/>
      <c r="H64" s="50"/>
      <c r="I64" s="50"/>
      <c r="J64" s="50"/>
      <c r="K64" s="50"/>
      <c r="L64" s="50" t="s">
        <v>1250</v>
      </c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</row>
    <row r="65">
      <c r="A65" s="52" t="s">
        <v>1251</v>
      </c>
      <c r="B65" s="50" t="s">
        <v>202</v>
      </c>
      <c r="C65" s="50"/>
      <c r="D65" s="50" t="s">
        <v>1187</v>
      </c>
      <c r="E65" s="50"/>
      <c r="F65" s="50"/>
      <c r="G65" s="50"/>
      <c r="H65" s="50"/>
      <c r="I65" s="50"/>
      <c r="J65" s="50"/>
      <c r="K65" s="50"/>
      <c r="L65" s="50" t="s">
        <v>1250</v>
      </c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</row>
    <row r="66">
      <c r="A66" s="52" t="s">
        <v>1252</v>
      </c>
      <c r="B66" s="50" t="s">
        <v>287</v>
      </c>
      <c r="C66" s="50"/>
      <c r="D66" s="50" t="s">
        <v>1187</v>
      </c>
      <c r="E66" s="50"/>
      <c r="F66" s="50"/>
      <c r="G66" s="50"/>
      <c r="H66" s="50"/>
      <c r="I66" s="50"/>
      <c r="J66" s="50"/>
      <c r="K66" s="50"/>
      <c r="L66" s="50" t="s">
        <v>1253</v>
      </c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</row>
    <row r="67">
      <c r="A67" s="53" t="s">
        <v>1254</v>
      </c>
      <c r="B67" s="54" t="s">
        <v>194</v>
      </c>
      <c r="C67" s="54">
        <v>41.0</v>
      </c>
      <c r="D67" s="54"/>
      <c r="E67" s="55"/>
      <c r="F67" s="55"/>
      <c r="G67" s="55"/>
      <c r="H67" s="54"/>
      <c r="I67" s="54"/>
      <c r="J67" s="54"/>
      <c r="K67" s="54"/>
      <c r="L67" s="54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</row>
    <row r="68">
      <c r="A68" s="53" t="s">
        <v>1255</v>
      </c>
      <c r="B68" s="54" t="s">
        <v>300</v>
      </c>
      <c r="C68" s="54">
        <v>1000.0</v>
      </c>
      <c r="D68" s="54" t="s">
        <v>1256</v>
      </c>
      <c r="E68" s="55"/>
      <c r="F68" s="55"/>
      <c r="G68" s="55"/>
      <c r="H68" s="54"/>
      <c r="I68" s="54"/>
      <c r="J68" s="54"/>
      <c r="K68" s="54"/>
      <c r="L68" s="54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</row>
    <row r="69">
      <c r="A69" s="53" t="s">
        <v>1254</v>
      </c>
      <c r="B69" s="54" t="s">
        <v>211</v>
      </c>
      <c r="C69" s="54">
        <v>465.0</v>
      </c>
      <c r="D69" s="54"/>
      <c r="E69" s="55"/>
      <c r="F69" s="55"/>
      <c r="G69" s="55"/>
      <c r="H69" s="54"/>
      <c r="I69" s="54"/>
      <c r="J69" s="54"/>
      <c r="K69" s="54"/>
      <c r="L69" s="54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</row>
    <row r="70">
      <c r="A70" s="53" t="s">
        <v>1257</v>
      </c>
      <c r="B70" s="54" t="s">
        <v>179</v>
      </c>
      <c r="C70" s="54">
        <v>28.0</v>
      </c>
      <c r="D70" s="54" t="s">
        <v>1258</v>
      </c>
      <c r="E70" s="55"/>
      <c r="F70" s="55"/>
      <c r="G70" s="55"/>
      <c r="H70" s="54"/>
      <c r="I70" s="54"/>
      <c r="J70" s="54"/>
      <c r="K70" s="54"/>
      <c r="L70" s="54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</row>
    <row r="71">
      <c r="A71" s="53" t="s">
        <v>1259</v>
      </c>
      <c r="B71" s="54" t="s">
        <v>270</v>
      </c>
      <c r="C71" s="54">
        <v>326.0</v>
      </c>
      <c r="D71" s="54" t="s">
        <v>1187</v>
      </c>
      <c r="E71" s="54"/>
      <c r="F71" s="54"/>
      <c r="G71" s="54"/>
      <c r="H71" s="54"/>
      <c r="I71" s="54"/>
      <c r="J71" s="54"/>
      <c r="K71" s="54"/>
      <c r="L71" s="54" t="s">
        <v>1260</v>
      </c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</row>
    <row r="72">
      <c r="A72" s="53" t="s">
        <v>1261</v>
      </c>
      <c r="B72" s="54" t="s">
        <v>208</v>
      </c>
      <c r="C72" s="54">
        <v>110.0</v>
      </c>
      <c r="D72" s="54"/>
      <c r="E72" s="55"/>
      <c r="F72" s="55"/>
      <c r="G72" s="55"/>
      <c r="H72" s="54"/>
      <c r="I72" s="54"/>
      <c r="J72" s="54"/>
      <c r="K72" s="54"/>
      <c r="L72" s="54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</row>
    <row r="73">
      <c r="A73" s="53" t="s">
        <v>1262</v>
      </c>
      <c r="B73" s="54" t="s">
        <v>162</v>
      </c>
      <c r="C73" s="54"/>
      <c r="D73" s="54" t="s">
        <v>1263</v>
      </c>
      <c r="E73" s="55"/>
      <c r="F73" s="55"/>
      <c r="G73" s="55"/>
      <c r="H73" s="54"/>
      <c r="I73" s="54"/>
      <c r="J73" s="54"/>
      <c r="K73" s="54"/>
      <c r="L73" s="54" t="s">
        <v>1264</v>
      </c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</row>
    <row r="74">
      <c r="A74" s="56" t="s">
        <v>1265</v>
      </c>
      <c r="B74" s="57" t="s">
        <v>221</v>
      </c>
      <c r="C74" s="57"/>
      <c r="D74" s="57" t="s">
        <v>1266</v>
      </c>
      <c r="E74" s="58"/>
      <c r="F74" s="58"/>
      <c r="G74" s="58"/>
      <c r="H74" s="57"/>
      <c r="I74" s="57"/>
      <c r="J74" s="57"/>
      <c r="K74" s="57"/>
      <c r="L74" s="57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</row>
    <row r="75">
      <c r="A75" s="56" t="s">
        <v>1267</v>
      </c>
      <c r="B75" s="57" t="s">
        <v>281</v>
      </c>
      <c r="C75" s="57"/>
      <c r="D75" s="57" t="s">
        <v>1268</v>
      </c>
      <c r="E75" s="58"/>
      <c r="F75" s="58"/>
      <c r="G75" s="58"/>
      <c r="H75" s="57"/>
      <c r="I75" s="57"/>
      <c r="J75" s="57"/>
      <c r="K75" s="57"/>
      <c r="L75" s="57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</row>
    <row r="76">
      <c r="A76" s="56" t="s">
        <v>1269</v>
      </c>
      <c r="B76" s="57" t="s">
        <v>310</v>
      </c>
      <c r="C76" s="57">
        <v>340.0</v>
      </c>
      <c r="D76" s="57"/>
      <c r="E76" s="58"/>
      <c r="F76" s="58"/>
      <c r="G76" s="58"/>
      <c r="H76" s="57"/>
      <c r="I76" s="57"/>
      <c r="J76" s="57"/>
      <c r="K76" s="57"/>
      <c r="L76" s="57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</row>
    <row r="77">
      <c r="A77" s="56" t="s">
        <v>1270</v>
      </c>
      <c r="B77" s="57" t="s">
        <v>257</v>
      </c>
      <c r="C77" s="57">
        <v>550.0</v>
      </c>
      <c r="D77" s="57"/>
      <c r="E77" s="58"/>
      <c r="F77" s="58"/>
      <c r="G77" s="58"/>
      <c r="H77" s="57"/>
      <c r="I77" s="57"/>
      <c r="J77" s="57"/>
      <c r="K77" s="57"/>
      <c r="L77" s="57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</row>
    <row r="78">
      <c r="A78" s="56" t="s">
        <v>1271</v>
      </c>
      <c r="B78" s="57" t="s">
        <v>316</v>
      </c>
      <c r="C78" s="57">
        <v>50.0</v>
      </c>
      <c r="D78" s="57" t="s">
        <v>1272</v>
      </c>
      <c r="E78" s="58"/>
      <c r="F78" s="58"/>
      <c r="G78" s="58"/>
      <c r="H78" s="57"/>
      <c r="I78" s="57"/>
      <c r="J78" s="57"/>
      <c r="K78" s="57"/>
      <c r="L78" s="57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</row>
    <row r="79">
      <c r="A79" s="56" t="s">
        <v>1273</v>
      </c>
      <c r="B79" s="57" t="s">
        <v>202</v>
      </c>
      <c r="C79" s="57">
        <v>110.0</v>
      </c>
      <c r="D79" s="57"/>
      <c r="E79" s="58"/>
      <c r="F79" s="58"/>
      <c r="G79" s="58"/>
      <c r="H79" s="57"/>
      <c r="I79" s="57"/>
      <c r="J79" s="57"/>
      <c r="K79" s="57"/>
      <c r="L79" s="57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</row>
    <row r="80">
      <c r="A80" s="40" t="s">
        <v>1274</v>
      </c>
      <c r="B80" s="41" t="s">
        <v>251</v>
      </c>
      <c r="C80" s="41">
        <v>580.0</v>
      </c>
      <c r="D80" s="41" t="s">
        <v>1263</v>
      </c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</row>
    <row r="81">
      <c r="A81" s="40" t="s">
        <v>1275</v>
      </c>
      <c r="B81" s="41" t="s">
        <v>167</v>
      </c>
      <c r="C81" s="41">
        <v>420.0</v>
      </c>
      <c r="D81" s="41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</row>
    <row r="82">
      <c r="A82" s="40" t="s">
        <v>1276</v>
      </c>
      <c r="B82" s="41" t="s">
        <v>245</v>
      </c>
      <c r="C82" s="42"/>
      <c r="D82" s="41" t="s">
        <v>1187</v>
      </c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</row>
    <row r="83">
      <c r="A83" s="40" t="s">
        <v>1277</v>
      </c>
      <c r="B83" s="41" t="s">
        <v>270</v>
      </c>
      <c r="C83" s="41">
        <v>540.0</v>
      </c>
      <c r="D83" s="41" t="s">
        <v>1256</v>
      </c>
      <c r="E83" s="41"/>
      <c r="F83" s="41"/>
      <c r="G83" s="41"/>
      <c r="H83" s="42"/>
      <c r="I83" s="42"/>
      <c r="J83" s="42"/>
      <c r="K83" s="42"/>
      <c r="L83" s="41" t="s">
        <v>1278</v>
      </c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</row>
    <row r="84">
      <c r="A84" s="40" t="s">
        <v>1277</v>
      </c>
      <c r="B84" s="41" t="s">
        <v>208</v>
      </c>
      <c r="C84" s="41">
        <v>415.0</v>
      </c>
      <c r="D84" s="41"/>
      <c r="E84" s="41"/>
      <c r="F84" s="41"/>
      <c r="G84" s="41"/>
      <c r="H84" s="42"/>
      <c r="I84" s="42"/>
      <c r="J84" s="42"/>
      <c r="K84" s="42"/>
      <c r="L84" s="41" t="s">
        <v>1279</v>
      </c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</row>
    <row r="85">
      <c r="A85" s="40" t="s">
        <v>1280</v>
      </c>
      <c r="B85" s="41" t="s">
        <v>179</v>
      </c>
      <c r="C85" s="41">
        <v>160.0</v>
      </c>
      <c r="D85" s="41" t="s">
        <v>1258</v>
      </c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</row>
    <row r="86">
      <c r="A86" s="40" t="s">
        <v>1281</v>
      </c>
      <c r="B86" s="41" t="s">
        <v>300</v>
      </c>
      <c r="C86" s="41">
        <v>600.0</v>
      </c>
      <c r="D86" s="41" t="s">
        <v>1282</v>
      </c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</row>
    <row r="87">
      <c r="A87" s="40" t="s">
        <v>1283</v>
      </c>
      <c r="B87" s="41" t="s">
        <v>211</v>
      </c>
      <c r="C87" s="41">
        <v>662.0</v>
      </c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</row>
    <row r="88">
      <c r="A88" s="40" t="s">
        <v>1284</v>
      </c>
      <c r="B88" s="41" t="s">
        <v>276</v>
      </c>
      <c r="C88" s="41">
        <v>1000.0</v>
      </c>
      <c r="D88" s="41" t="s">
        <v>1248</v>
      </c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</row>
    <row r="89">
      <c r="A89" s="40" t="s">
        <v>1285</v>
      </c>
      <c r="B89" s="41" t="s">
        <v>197</v>
      </c>
      <c r="C89" s="41">
        <v>352.0</v>
      </c>
      <c r="D89" s="41" t="s">
        <v>1286</v>
      </c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</row>
    <row r="90">
      <c r="A90" s="40" t="s">
        <v>1287</v>
      </c>
      <c r="B90" s="41" t="s">
        <v>281</v>
      </c>
      <c r="C90" s="41">
        <v>50.0</v>
      </c>
      <c r="D90" s="41" t="s">
        <v>1288</v>
      </c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</row>
    <row r="91">
      <c r="A91" s="40" t="s">
        <v>1289</v>
      </c>
      <c r="B91" s="41" t="s">
        <v>221</v>
      </c>
      <c r="C91" s="41">
        <v>23.0</v>
      </c>
      <c r="D91" s="41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</row>
    <row r="92">
      <c r="A92" s="40" t="s">
        <v>1274</v>
      </c>
      <c r="B92" s="41" t="s">
        <v>310</v>
      </c>
      <c r="C92" s="41">
        <v>680.0</v>
      </c>
      <c r="D92" s="41" t="s">
        <v>1290</v>
      </c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</row>
    <row r="93">
      <c r="A93" s="40" t="s">
        <v>1274</v>
      </c>
      <c r="B93" s="41" t="s">
        <v>257</v>
      </c>
      <c r="C93" s="42"/>
      <c r="D93" s="41" t="s">
        <v>1291</v>
      </c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</row>
    <row r="94">
      <c r="A94" s="40" t="s">
        <v>1292</v>
      </c>
      <c r="B94" s="41" t="s">
        <v>260</v>
      </c>
      <c r="C94" s="42"/>
      <c r="D94" s="41" t="s">
        <v>1293</v>
      </c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</row>
    <row r="95">
      <c r="A95" s="40" t="s">
        <v>1294</v>
      </c>
      <c r="B95" s="41" t="s">
        <v>235</v>
      </c>
      <c r="C95" s="42"/>
      <c r="D95" s="41" t="s">
        <v>1263</v>
      </c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</row>
    <row r="96">
      <c r="A96" s="32" t="s">
        <v>1295</v>
      </c>
      <c r="B96" s="33" t="s">
        <v>162</v>
      </c>
      <c r="C96" s="35"/>
      <c r="D96" s="33" t="s">
        <v>1296</v>
      </c>
      <c r="E96" s="35"/>
      <c r="F96" s="35"/>
      <c r="G96" s="35"/>
      <c r="H96" s="33" t="s">
        <v>1297</v>
      </c>
      <c r="I96" s="33"/>
      <c r="J96" s="33"/>
      <c r="K96" s="33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</row>
    <row r="97">
      <c r="A97" s="32" t="s">
        <v>1298</v>
      </c>
      <c r="B97" s="33" t="s">
        <v>270</v>
      </c>
      <c r="C97" s="33">
        <v>447.0</v>
      </c>
      <c r="D97" s="33" t="s">
        <v>1299</v>
      </c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>
      <c r="A98" s="32" t="s">
        <v>1300</v>
      </c>
      <c r="B98" s="33" t="s">
        <v>179</v>
      </c>
      <c r="C98" s="35"/>
      <c r="D98" s="33" t="s">
        <v>1263</v>
      </c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>
      <c r="A99" s="32" t="s">
        <v>1301</v>
      </c>
      <c r="B99" s="33" t="s">
        <v>300</v>
      </c>
      <c r="C99" s="33">
        <v>470.0</v>
      </c>
      <c r="D99" s="33" t="s">
        <v>1302</v>
      </c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</row>
    <row r="100">
      <c r="A100" s="32" t="s">
        <v>1303</v>
      </c>
      <c r="B100" s="33" t="s">
        <v>211</v>
      </c>
      <c r="C100" s="35"/>
      <c r="D100" s="33" t="s">
        <v>1304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</row>
    <row r="101">
      <c r="A101" s="32" t="s">
        <v>1305</v>
      </c>
      <c r="B101" s="33" t="s">
        <v>281</v>
      </c>
      <c r="C101" s="35"/>
      <c r="D101" s="33" t="s">
        <v>1306</v>
      </c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>
      <c r="A102" s="32" t="s">
        <v>1307</v>
      </c>
      <c r="B102" s="33" t="s">
        <v>310</v>
      </c>
      <c r="C102" s="33">
        <v>600.0</v>
      </c>
      <c r="D102" s="33" t="s">
        <v>1183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</row>
    <row r="103">
      <c r="A103" s="32" t="s">
        <v>1308</v>
      </c>
      <c r="B103" s="33" t="s">
        <v>257</v>
      </c>
      <c r="C103" s="33">
        <v>660.0</v>
      </c>
      <c r="D103" s="35"/>
      <c r="E103" s="33"/>
      <c r="F103" s="33"/>
      <c r="G103" s="33"/>
      <c r="H103" s="35"/>
      <c r="I103" s="35"/>
      <c r="J103" s="35"/>
      <c r="K103" s="35"/>
      <c r="L103" s="33" t="s">
        <v>1309</v>
      </c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</row>
    <row r="104">
      <c r="A104" s="32" t="s">
        <v>1310</v>
      </c>
      <c r="B104" s="33" t="s">
        <v>316</v>
      </c>
      <c r="C104" s="33">
        <v>510.0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</row>
    <row r="105">
      <c r="A105" s="32" t="s">
        <v>1311</v>
      </c>
      <c r="B105" s="33" t="s">
        <v>202</v>
      </c>
      <c r="C105" s="33">
        <v>344.0</v>
      </c>
      <c r="D105" s="33" t="s">
        <v>1244</v>
      </c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</row>
    <row r="106">
      <c r="A106" s="59" t="s">
        <v>1312</v>
      </c>
      <c r="B106" s="60" t="s">
        <v>147</v>
      </c>
      <c r="C106" s="60"/>
      <c r="D106" s="1" t="s">
        <v>1313</v>
      </c>
      <c r="E106" s="61"/>
      <c r="F106" s="61"/>
      <c r="G106" s="61"/>
      <c r="H106" s="61"/>
      <c r="I106" s="61"/>
      <c r="J106" s="61"/>
      <c r="K106" s="61"/>
      <c r="L106" s="60" t="s">
        <v>1314</v>
      </c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61"/>
      <c r="AF106" s="61"/>
    </row>
    <row r="107">
      <c r="A107" s="59" t="s">
        <v>1315</v>
      </c>
      <c r="B107" s="60" t="s">
        <v>287</v>
      </c>
      <c r="C107" s="60">
        <v>778.0</v>
      </c>
      <c r="D107" s="60" t="s">
        <v>1316</v>
      </c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61"/>
      <c r="AF107" s="61"/>
    </row>
    <row r="108">
      <c r="A108" s="59" t="s">
        <v>1317</v>
      </c>
      <c r="B108" s="60" t="s">
        <v>300</v>
      </c>
      <c r="C108" s="60" t="s">
        <v>1318</v>
      </c>
      <c r="D108" s="60" t="s">
        <v>1319</v>
      </c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</row>
    <row r="109">
      <c r="A109" s="59" t="s">
        <v>1317</v>
      </c>
      <c r="B109" s="60" t="s">
        <v>65</v>
      </c>
      <c r="C109" s="61"/>
      <c r="D109" s="60" t="s">
        <v>1187</v>
      </c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61"/>
      <c r="AF109" s="61"/>
    </row>
    <row r="110">
      <c r="A110" s="59" t="s">
        <v>1317</v>
      </c>
      <c r="B110" s="60" t="s">
        <v>211</v>
      </c>
      <c r="C110" s="60">
        <v>100.0</v>
      </c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</row>
    <row r="111">
      <c r="A111" s="59" t="s">
        <v>1320</v>
      </c>
      <c r="B111" s="60" t="s">
        <v>281</v>
      </c>
      <c r="C111" s="60">
        <v>311.0</v>
      </c>
      <c r="D111" s="60" t="s">
        <v>1187</v>
      </c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</row>
    <row r="112">
      <c r="A112" s="59" t="s">
        <v>1321</v>
      </c>
      <c r="B112" s="60" t="s">
        <v>221</v>
      </c>
      <c r="C112" s="60">
        <v>235.0</v>
      </c>
      <c r="D112" s="60" t="s">
        <v>1322</v>
      </c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</row>
    <row r="113">
      <c r="A113" s="59" t="s">
        <v>1321</v>
      </c>
      <c r="B113" s="60" t="s">
        <v>310</v>
      </c>
      <c r="C113" s="60">
        <v>460.0</v>
      </c>
      <c r="D113" s="60" t="s">
        <v>1323</v>
      </c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</row>
    <row r="114">
      <c r="A114" s="59" t="s">
        <v>1324</v>
      </c>
      <c r="B114" s="60" t="s">
        <v>251</v>
      </c>
      <c r="C114" s="60">
        <v>730.0</v>
      </c>
      <c r="D114" s="60" t="s">
        <v>1213</v>
      </c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</row>
    <row r="115">
      <c r="A115" s="59" t="s">
        <v>1325</v>
      </c>
      <c r="B115" s="60" t="s">
        <v>260</v>
      </c>
      <c r="C115" s="60">
        <v>360.0</v>
      </c>
      <c r="D115" s="60" t="s">
        <v>1187</v>
      </c>
      <c r="E115" s="60"/>
      <c r="F115" s="60"/>
      <c r="G115" s="60"/>
      <c r="H115" s="61"/>
      <c r="I115" s="61"/>
      <c r="J115" s="61"/>
      <c r="K115" s="61"/>
      <c r="L115" s="60" t="s">
        <v>1326</v>
      </c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</row>
    <row r="116">
      <c r="A116" s="59" t="s">
        <v>1327</v>
      </c>
      <c r="B116" s="60" t="s">
        <v>235</v>
      </c>
      <c r="C116" s="61"/>
      <c r="D116" s="60" t="s">
        <v>1187</v>
      </c>
      <c r="E116" s="60"/>
      <c r="F116" s="60"/>
      <c r="G116" s="60"/>
      <c r="H116" s="61"/>
      <c r="I116" s="61"/>
      <c r="J116" s="61"/>
      <c r="K116" s="61"/>
      <c r="L116" s="60" t="s">
        <v>1328</v>
      </c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</row>
    <row r="117">
      <c r="A117" s="59" t="s">
        <v>1329</v>
      </c>
      <c r="B117" s="60" t="s">
        <v>167</v>
      </c>
      <c r="C117" s="61"/>
      <c r="D117" s="60" t="s">
        <v>1187</v>
      </c>
      <c r="E117" s="60"/>
      <c r="F117" s="60"/>
      <c r="G117" s="60"/>
      <c r="H117" s="61"/>
      <c r="I117" s="61"/>
      <c r="J117" s="61"/>
      <c r="K117" s="61"/>
      <c r="L117" s="60" t="s">
        <v>1330</v>
      </c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61"/>
      <c r="AF117" s="61"/>
    </row>
    <row r="118">
      <c r="A118" s="46" t="s">
        <v>1331</v>
      </c>
      <c r="B118" s="47" t="s">
        <v>251</v>
      </c>
      <c r="C118" s="47">
        <v>580.0</v>
      </c>
      <c r="D118" s="47" t="s">
        <v>1332</v>
      </c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</row>
    <row r="119">
      <c r="A119" s="46" t="s">
        <v>1333</v>
      </c>
      <c r="B119" s="47" t="s">
        <v>270</v>
      </c>
      <c r="C119" s="47">
        <v>690.0</v>
      </c>
      <c r="D119" s="47" t="s">
        <v>1187</v>
      </c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</row>
    <row r="120">
      <c r="A120" s="46" t="s">
        <v>1334</v>
      </c>
      <c r="B120" s="47" t="s">
        <v>65</v>
      </c>
      <c r="C120" s="47">
        <v>300.0</v>
      </c>
      <c r="D120" s="47" t="s">
        <v>1335</v>
      </c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</row>
    <row r="121">
      <c r="A121" s="46" t="s">
        <v>1334</v>
      </c>
      <c r="B121" s="47" t="s">
        <v>211</v>
      </c>
      <c r="C121" s="47">
        <v>220.0</v>
      </c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</row>
    <row r="122">
      <c r="A122" s="46" t="s">
        <v>1336</v>
      </c>
      <c r="B122" s="47" t="s">
        <v>276</v>
      </c>
      <c r="C122" s="48"/>
      <c r="D122" s="47" t="s">
        <v>1337</v>
      </c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</row>
    <row r="123">
      <c r="A123" s="46" t="s">
        <v>1338</v>
      </c>
      <c r="B123" s="47" t="s">
        <v>197</v>
      </c>
      <c r="C123" s="48"/>
      <c r="D123" s="47" t="s">
        <v>1339</v>
      </c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</row>
    <row r="124">
      <c r="A124" s="46" t="s">
        <v>1340</v>
      </c>
      <c r="B124" s="47" t="s">
        <v>281</v>
      </c>
      <c r="C124" s="47">
        <v>110.0</v>
      </c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</row>
    <row r="125">
      <c r="A125" s="46" t="s">
        <v>1341</v>
      </c>
      <c r="B125" s="47" t="s">
        <v>310</v>
      </c>
      <c r="C125" s="48"/>
      <c r="D125" s="47" t="s">
        <v>1187</v>
      </c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</row>
    <row r="126">
      <c r="A126" s="46" t="s">
        <v>1342</v>
      </c>
      <c r="B126" s="47" t="s">
        <v>202</v>
      </c>
      <c r="C126" s="47"/>
      <c r="D126" s="47"/>
      <c r="E126" s="47" t="s">
        <v>1343</v>
      </c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</row>
    <row r="127">
      <c r="A127" s="46" t="s">
        <v>1342</v>
      </c>
      <c r="B127" s="47" t="s">
        <v>316</v>
      </c>
      <c r="C127" s="47">
        <v>869.0</v>
      </c>
      <c r="D127" s="47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</row>
    <row r="128">
      <c r="A128" s="62" t="s">
        <v>1344</v>
      </c>
      <c r="B128" s="63" t="s">
        <v>251</v>
      </c>
      <c r="C128" s="63">
        <v>450.0</v>
      </c>
      <c r="D128" s="63" t="s">
        <v>1244</v>
      </c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</row>
    <row r="129">
      <c r="A129" s="62" t="s">
        <v>1344</v>
      </c>
      <c r="B129" s="63" t="s">
        <v>167</v>
      </c>
      <c r="C129" s="64"/>
      <c r="D129" s="63" t="s">
        <v>1187</v>
      </c>
      <c r="E129" s="63"/>
      <c r="F129" s="63"/>
      <c r="G129" s="63"/>
      <c r="H129" s="64"/>
      <c r="I129" s="64"/>
      <c r="J129" s="64"/>
      <c r="K129" s="64"/>
      <c r="L129" s="63" t="s">
        <v>1345</v>
      </c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</row>
    <row r="130">
      <c r="A130" s="62" t="s">
        <v>1346</v>
      </c>
      <c r="B130" s="63" t="s">
        <v>162</v>
      </c>
      <c r="C130" s="64"/>
      <c r="D130" s="63" t="s">
        <v>1244</v>
      </c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</row>
    <row r="131">
      <c r="A131" s="62" t="s">
        <v>1347</v>
      </c>
      <c r="B131" s="63" t="s">
        <v>270</v>
      </c>
      <c r="C131" s="63">
        <v>800.0</v>
      </c>
      <c r="D131" s="63" t="s">
        <v>1348</v>
      </c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</row>
    <row r="132">
      <c r="A132" s="62" t="s">
        <v>1347</v>
      </c>
      <c r="B132" s="63" t="s">
        <v>179</v>
      </c>
      <c r="C132" s="63">
        <v>465.0</v>
      </c>
      <c r="D132" s="63" t="s">
        <v>1187</v>
      </c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</row>
    <row r="133">
      <c r="A133" s="62" t="s">
        <v>1349</v>
      </c>
      <c r="B133" s="63" t="s">
        <v>300</v>
      </c>
      <c r="C133" s="64"/>
      <c r="D133" s="63" t="s">
        <v>1187</v>
      </c>
      <c r="E133" s="63"/>
      <c r="F133" s="63"/>
      <c r="G133" s="63"/>
      <c r="H133" s="64"/>
      <c r="I133" s="64"/>
      <c r="J133" s="64"/>
      <c r="K133" s="64"/>
      <c r="L133" s="63" t="s">
        <v>1345</v>
      </c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</row>
    <row r="134">
      <c r="A134" s="62" t="s">
        <v>1350</v>
      </c>
      <c r="B134" s="63" t="s">
        <v>65</v>
      </c>
      <c r="C134" s="64"/>
      <c r="D134" s="63" t="s">
        <v>1256</v>
      </c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</row>
    <row r="135">
      <c r="A135" s="62" t="s">
        <v>1350</v>
      </c>
      <c r="B135" s="63" t="s">
        <v>211</v>
      </c>
      <c r="C135" s="64"/>
      <c r="D135" s="63" t="s">
        <v>1351</v>
      </c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</row>
    <row r="136">
      <c r="A136" s="62" t="s">
        <v>1352</v>
      </c>
      <c r="B136" s="63" t="s">
        <v>221</v>
      </c>
      <c r="C136" s="64"/>
      <c r="D136" s="63" t="s">
        <v>1353</v>
      </c>
      <c r="E136" s="63"/>
      <c r="F136" s="63"/>
      <c r="G136" s="63"/>
      <c r="H136" s="64"/>
      <c r="I136" s="64"/>
      <c r="J136" s="64"/>
      <c r="K136" s="64"/>
      <c r="L136" s="63" t="s">
        <v>1354</v>
      </c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</row>
    <row r="137">
      <c r="A137" s="62" t="s">
        <v>1355</v>
      </c>
      <c r="B137" s="63" t="s">
        <v>235</v>
      </c>
      <c r="C137" s="63">
        <v>500.0</v>
      </c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</row>
    <row r="138">
      <c r="A138" s="62" t="s">
        <v>1356</v>
      </c>
      <c r="B138" s="63" t="s">
        <v>316</v>
      </c>
      <c r="C138" s="63" t="s">
        <v>1318</v>
      </c>
      <c r="D138" s="64"/>
      <c r="E138" s="64"/>
      <c r="F138" s="64"/>
      <c r="G138" s="64"/>
      <c r="H138" s="63"/>
      <c r="I138" s="63"/>
      <c r="J138" s="63">
        <v>250.0</v>
      </c>
      <c r="K138" s="63">
        <v>69.0</v>
      </c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</row>
    <row r="139">
      <c r="A139" s="62" t="s">
        <v>1356</v>
      </c>
      <c r="B139" s="63" t="s">
        <v>202</v>
      </c>
      <c r="C139" s="63">
        <v>218.0</v>
      </c>
      <c r="D139" s="63" t="s">
        <v>1357</v>
      </c>
      <c r="E139" s="63"/>
      <c r="F139" s="63"/>
      <c r="G139" s="63">
        <v>168.0</v>
      </c>
      <c r="H139" s="63">
        <v>266.0</v>
      </c>
      <c r="I139" s="63">
        <v>275.0</v>
      </c>
      <c r="J139" s="63">
        <v>102.0</v>
      </c>
      <c r="K139" s="63">
        <v>90.0</v>
      </c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</row>
    <row r="140">
      <c r="A140" s="65" t="s">
        <v>1358</v>
      </c>
      <c r="B140" s="66" t="s">
        <v>147</v>
      </c>
      <c r="C140" s="67"/>
      <c r="D140" s="66" t="s">
        <v>1187</v>
      </c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</row>
    <row r="141">
      <c r="A141" s="65" t="s">
        <v>1359</v>
      </c>
      <c r="B141" s="66" t="s">
        <v>251</v>
      </c>
      <c r="C141" s="66">
        <v>500.0</v>
      </c>
      <c r="D141" s="66" t="s">
        <v>1187</v>
      </c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</row>
    <row r="142">
      <c r="A142" s="65" t="s">
        <v>1360</v>
      </c>
      <c r="B142" s="66" t="s">
        <v>167</v>
      </c>
      <c r="C142" s="68">
        <v>44323.0</v>
      </c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</row>
    <row r="143">
      <c r="A143" s="65" t="s">
        <v>1361</v>
      </c>
      <c r="B143" s="66" t="s">
        <v>245</v>
      </c>
      <c r="C143" s="66">
        <v>1000.0</v>
      </c>
      <c r="D143" s="66" t="s">
        <v>1362</v>
      </c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</row>
    <row r="144">
      <c r="A144" s="65" t="s">
        <v>1361</v>
      </c>
      <c r="B144" s="66" t="s">
        <v>270</v>
      </c>
      <c r="C144" s="67"/>
      <c r="D144" s="66" t="s">
        <v>1363</v>
      </c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</row>
    <row r="145">
      <c r="A145" s="65" t="s">
        <v>1364</v>
      </c>
      <c r="B145" s="66" t="s">
        <v>300</v>
      </c>
      <c r="C145" s="67"/>
      <c r="D145" s="66" t="s">
        <v>1187</v>
      </c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</row>
    <row r="146">
      <c r="A146" s="65" t="s">
        <v>1365</v>
      </c>
      <c r="B146" s="66" t="s">
        <v>211</v>
      </c>
      <c r="C146" s="66">
        <v>220.0</v>
      </c>
      <c r="D146" s="66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</row>
    <row r="147">
      <c r="A147" s="65" t="s">
        <v>1366</v>
      </c>
      <c r="B147" s="66" t="s">
        <v>287</v>
      </c>
      <c r="C147" s="67"/>
      <c r="D147" s="66" t="s">
        <v>1187</v>
      </c>
      <c r="E147" s="67"/>
      <c r="F147" s="67"/>
      <c r="G147" s="67"/>
      <c r="H147" s="67"/>
      <c r="I147" s="67"/>
      <c r="J147" s="67"/>
      <c r="K147" s="67"/>
      <c r="L147" s="66" t="s">
        <v>1367</v>
      </c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</row>
    <row r="148">
      <c r="A148" s="32" t="s">
        <v>1368</v>
      </c>
      <c r="B148" s="33" t="s">
        <v>167</v>
      </c>
      <c r="C148" s="35"/>
      <c r="D148" s="33" t="s">
        <v>1187</v>
      </c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</row>
    <row r="149">
      <c r="A149" s="32" t="s">
        <v>1369</v>
      </c>
      <c r="B149" s="33" t="s">
        <v>162</v>
      </c>
      <c r="C149" s="35"/>
      <c r="D149" s="33" t="s">
        <v>1187</v>
      </c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</row>
    <row r="150">
      <c r="A150" s="32" t="s">
        <v>1370</v>
      </c>
      <c r="B150" s="33" t="s">
        <v>251</v>
      </c>
      <c r="C150" s="35"/>
      <c r="D150" s="33" t="s">
        <v>1187</v>
      </c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</row>
    <row r="151">
      <c r="A151" s="32" t="s">
        <v>1371</v>
      </c>
      <c r="B151" s="33" t="s">
        <v>270</v>
      </c>
      <c r="C151" s="33">
        <v>600.0</v>
      </c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</row>
    <row r="152">
      <c r="A152" s="32" t="s">
        <v>1372</v>
      </c>
      <c r="B152" s="33" t="s">
        <v>179</v>
      </c>
      <c r="C152" s="33">
        <v>1000.0</v>
      </c>
      <c r="D152" s="33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</row>
    <row r="153">
      <c r="A153" s="32" t="s">
        <v>1373</v>
      </c>
      <c r="B153" s="33" t="s">
        <v>65</v>
      </c>
      <c r="C153" s="33">
        <v>310.0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</row>
    <row r="154">
      <c r="A154" s="32" t="s">
        <v>1374</v>
      </c>
      <c r="B154" s="33" t="s">
        <v>276</v>
      </c>
      <c r="C154" s="33">
        <v>1000.0</v>
      </c>
      <c r="D154" s="33" t="s">
        <v>1375</v>
      </c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</row>
    <row r="155">
      <c r="A155" s="32" t="s">
        <v>1374</v>
      </c>
      <c r="B155" s="33" t="s">
        <v>197</v>
      </c>
      <c r="C155" s="33">
        <v>450.0</v>
      </c>
      <c r="D155" s="33" t="s">
        <v>1187</v>
      </c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</row>
    <row r="156">
      <c r="A156" s="32" t="s">
        <v>1376</v>
      </c>
      <c r="B156" s="33" t="s">
        <v>316</v>
      </c>
      <c r="C156" s="35"/>
      <c r="D156" s="33" t="s">
        <v>1187</v>
      </c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</row>
    <row r="157">
      <c r="A157" s="32" t="s">
        <v>1376</v>
      </c>
      <c r="B157" s="33" t="s">
        <v>202</v>
      </c>
      <c r="C157" s="33">
        <v>240.0</v>
      </c>
      <c r="D157" s="33" t="s">
        <v>1377</v>
      </c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</row>
    <row r="158">
      <c r="A158" s="32" t="s">
        <v>1378</v>
      </c>
      <c r="B158" s="33" t="s">
        <v>37</v>
      </c>
      <c r="C158" s="33"/>
      <c r="D158" s="33" t="s">
        <v>1379</v>
      </c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>
      <c r="A159" s="32" t="s">
        <v>1376</v>
      </c>
      <c r="B159" s="33" t="s">
        <v>188</v>
      </c>
      <c r="C159" s="33"/>
      <c r="D159" s="33" t="s">
        <v>1263</v>
      </c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</row>
    <row r="160">
      <c r="A160" s="62" t="s">
        <v>1380</v>
      </c>
      <c r="B160" s="63" t="s">
        <v>260</v>
      </c>
      <c r="C160" s="64"/>
      <c r="D160" s="63" t="s">
        <v>1381</v>
      </c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</row>
    <row r="161">
      <c r="A161" s="62" t="s">
        <v>1382</v>
      </c>
      <c r="B161" s="63" t="s">
        <v>251</v>
      </c>
      <c r="C161" s="63">
        <v>303.0</v>
      </c>
      <c r="D161" s="63" t="s">
        <v>1375</v>
      </c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</row>
    <row r="162">
      <c r="A162" s="62" t="s">
        <v>1383</v>
      </c>
      <c r="B162" s="63" t="s">
        <v>167</v>
      </c>
      <c r="C162" s="63">
        <v>112.0</v>
      </c>
      <c r="D162" s="63" t="s">
        <v>1258</v>
      </c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</row>
    <row r="163">
      <c r="A163" s="62" t="s">
        <v>1384</v>
      </c>
      <c r="B163" s="63" t="s">
        <v>221</v>
      </c>
      <c r="C163" s="63">
        <v>300.0</v>
      </c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</row>
    <row r="164">
      <c r="A164" s="62" t="s">
        <v>1384</v>
      </c>
      <c r="B164" s="63" t="s">
        <v>310</v>
      </c>
      <c r="C164" s="63">
        <v>430.0</v>
      </c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</row>
    <row r="165">
      <c r="A165" s="62" t="s">
        <v>1385</v>
      </c>
      <c r="B165" s="63" t="s">
        <v>300</v>
      </c>
      <c r="C165" s="63">
        <v>435.0</v>
      </c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</row>
    <row r="166">
      <c r="A166" s="62" t="s">
        <v>1386</v>
      </c>
      <c r="B166" s="63" t="s">
        <v>65</v>
      </c>
      <c r="C166" s="63">
        <v>542.0</v>
      </c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</row>
    <row r="167">
      <c r="A167" s="62" t="s">
        <v>1385</v>
      </c>
      <c r="B167" s="63" t="s">
        <v>211</v>
      </c>
      <c r="C167" s="63">
        <v>408.0</v>
      </c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</row>
    <row r="168">
      <c r="A168" s="69" t="s">
        <v>1387</v>
      </c>
      <c r="B168" s="1" t="s">
        <v>188</v>
      </c>
      <c r="E168" s="1" t="s">
        <v>1388</v>
      </c>
    </row>
    <row r="169">
      <c r="A169" s="69" t="s">
        <v>1387</v>
      </c>
      <c r="B169" s="1" t="s">
        <v>173</v>
      </c>
      <c r="D169" s="1" t="s">
        <v>1389</v>
      </c>
    </row>
    <row r="170">
      <c r="A170" s="69" t="s">
        <v>1390</v>
      </c>
      <c r="B170" s="1" t="s">
        <v>29</v>
      </c>
      <c r="D170" s="1" t="s">
        <v>1187</v>
      </c>
    </row>
    <row r="171">
      <c r="A171" s="69" t="s">
        <v>1391</v>
      </c>
      <c r="B171" s="1" t="s">
        <v>300</v>
      </c>
      <c r="D171" s="1" t="s">
        <v>1392</v>
      </c>
    </row>
    <row r="172">
      <c r="A172" s="69" t="s">
        <v>1391</v>
      </c>
      <c r="B172" s="1" t="s">
        <v>306</v>
      </c>
      <c r="D172" s="1"/>
      <c r="E172" s="1" t="s">
        <v>1393</v>
      </c>
    </row>
    <row r="173">
      <c r="A173" s="69" t="s">
        <v>1394</v>
      </c>
      <c r="B173" s="1" t="s">
        <v>65</v>
      </c>
      <c r="D173" s="1" t="s">
        <v>1187</v>
      </c>
    </row>
    <row r="174">
      <c r="A174" s="69" t="s">
        <v>1395</v>
      </c>
      <c r="B174" s="1" t="s">
        <v>211</v>
      </c>
      <c r="C174" s="1">
        <v>475.0</v>
      </c>
    </row>
    <row r="175">
      <c r="A175" s="69" t="s">
        <v>1395</v>
      </c>
      <c r="B175" s="1" t="s">
        <v>217</v>
      </c>
      <c r="D175" s="1" t="s">
        <v>1351</v>
      </c>
    </row>
    <row r="176">
      <c r="A176" s="69" t="s">
        <v>1396</v>
      </c>
      <c r="B176" s="1" t="s">
        <v>270</v>
      </c>
      <c r="C176" s="1">
        <v>362.0</v>
      </c>
      <c r="D176" s="1" t="s">
        <v>1397</v>
      </c>
    </row>
    <row r="177">
      <c r="A177" s="69" t="s">
        <v>1396</v>
      </c>
      <c r="B177" s="1" t="s">
        <v>179</v>
      </c>
      <c r="C177" s="1">
        <v>784.0</v>
      </c>
      <c r="D177" s="1" t="s">
        <v>1398</v>
      </c>
    </row>
    <row r="178">
      <c r="A178" s="69" t="s">
        <v>1396</v>
      </c>
      <c r="B178" s="1" t="s">
        <v>184</v>
      </c>
      <c r="C178" s="1">
        <v>300.0</v>
      </c>
    </row>
    <row r="179">
      <c r="A179" s="69" t="s">
        <v>1399</v>
      </c>
      <c r="B179" s="1" t="s">
        <v>293</v>
      </c>
      <c r="D179" s="1" t="s">
        <v>1400</v>
      </c>
    </row>
    <row r="180">
      <c r="A180" s="70" t="s">
        <v>1399</v>
      </c>
      <c r="B180" s="71" t="s">
        <v>287</v>
      </c>
    </row>
    <row r="181">
      <c r="A181" s="70" t="s">
        <v>1399</v>
      </c>
      <c r="B181" s="1" t="s">
        <v>226</v>
      </c>
    </row>
    <row r="182">
      <c r="A182" s="70" t="s">
        <v>1399</v>
      </c>
      <c r="B182" s="1" t="s">
        <v>232</v>
      </c>
      <c r="D182" s="1" t="s">
        <v>1187</v>
      </c>
    </row>
    <row r="183">
      <c r="A183" s="69" t="s">
        <v>1401</v>
      </c>
      <c r="B183" s="1" t="s">
        <v>251</v>
      </c>
      <c r="C183" s="1">
        <v>364.0</v>
      </c>
      <c r="D183" s="1" t="s">
        <v>1402</v>
      </c>
    </row>
    <row r="184">
      <c r="A184" s="69" t="s">
        <v>1403</v>
      </c>
      <c r="B184" s="1" t="s">
        <v>167</v>
      </c>
      <c r="C184" s="1">
        <v>40.0</v>
      </c>
    </row>
    <row r="185">
      <c r="A185" s="69" t="s">
        <v>1404</v>
      </c>
      <c r="B185" s="1" t="s">
        <v>276</v>
      </c>
      <c r="C185" s="1">
        <v>900.0</v>
      </c>
      <c r="D185" s="1" t="s">
        <v>1299</v>
      </c>
    </row>
    <row r="186">
      <c r="A186" s="69" t="s">
        <v>1405</v>
      </c>
      <c r="B186" s="1" t="s">
        <v>197</v>
      </c>
      <c r="D186" s="1" t="s">
        <v>1263</v>
      </c>
    </row>
    <row r="187">
      <c r="A187" s="69" t="s">
        <v>1406</v>
      </c>
      <c r="B187" s="1" t="s">
        <v>221</v>
      </c>
      <c r="C187" s="1">
        <v>300.0</v>
      </c>
      <c r="D187" s="1" t="s">
        <v>1258</v>
      </c>
      <c r="E187" s="1" t="s">
        <v>1407</v>
      </c>
    </row>
    <row r="188">
      <c r="A188" s="69" t="s">
        <v>1408</v>
      </c>
      <c r="B188" s="1" t="s">
        <v>158</v>
      </c>
      <c r="D188" s="1" t="s">
        <v>1409</v>
      </c>
    </row>
    <row r="189">
      <c r="A189" s="69" t="s">
        <v>1410</v>
      </c>
      <c r="B189" s="1" t="s">
        <v>142</v>
      </c>
      <c r="D189" s="1" t="s">
        <v>1409</v>
      </c>
    </row>
    <row r="190">
      <c r="A190" s="72" t="s">
        <v>1411</v>
      </c>
      <c r="B190" s="54" t="s">
        <v>91</v>
      </c>
      <c r="C190" s="54"/>
      <c r="D190" s="54" t="s">
        <v>1409</v>
      </c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</row>
    <row r="191">
      <c r="A191" s="72" t="s">
        <v>1412</v>
      </c>
      <c r="B191" s="54" t="s">
        <v>101</v>
      </c>
      <c r="C191" s="54"/>
      <c r="D191" s="54" t="s">
        <v>1409</v>
      </c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</row>
    <row r="192">
      <c r="A192" s="72" t="s">
        <v>1413</v>
      </c>
      <c r="B192" s="54" t="s">
        <v>111</v>
      </c>
      <c r="C192" s="54"/>
      <c r="D192" s="54" t="s">
        <v>1409</v>
      </c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</row>
    <row r="193">
      <c r="A193" s="72" t="s">
        <v>1414</v>
      </c>
      <c r="B193" s="54" t="s">
        <v>162</v>
      </c>
      <c r="C193" s="54"/>
      <c r="D193" s="54" t="s">
        <v>1351</v>
      </c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</row>
    <row r="194">
      <c r="A194" s="72" t="s">
        <v>1415</v>
      </c>
      <c r="B194" s="54" t="s">
        <v>316</v>
      </c>
      <c r="C194" s="54"/>
      <c r="D194" s="54" t="s">
        <v>1258</v>
      </c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</row>
    <row r="195">
      <c r="A195" s="72" t="s">
        <v>1416</v>
      </c>
      <c r="B195" s="54" t="s">
        <v>266</v>
      </c>
      <c r="C195" s="54"/>
      <c r="D195" s="1" t="s">
        <v>1246</v>
      </c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</row>
    <row r="196">
      <c r="A196" s="72" t="s">
        <v>1417</v>
      </c>
      <c r="B196" s="54" t="s">
        <v>184</v>
      </c>
      <c r="C196" s="54"/>
      <c r="D196" s="54" t="s">
        <v>1187</v>
      </c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</row>
    <row r="197">
      <c r="A197" s="72"/>
      <c r="B197" s="54"/>
      <c r="C197" s="54"/>
      <c r="D197" s="54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</row>
    <row r="198">
      <c r="A198" s="72"/>
      <c r="B198" s="54"/>
      <c r="C198" s="54"/>
      <c r="D198" s="54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</row>
    <row r="199">
      <c r="A199" s="72"/>
      <c r="B199" s="54"/>
      <c r="C199" s="54"/>
      <c r="D199" s="54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</row>
    <row r="200">
      <c r="A200" s="72"/>
      <c r="B200" s="54"/>
      <c r="C200" s="54"/>
      <c r="D200" s="54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</row>
    <row r="201">
      <c r="A201" s="69"/>
    </row>
    <row r="202">
      <c r="A202" s="69"/>
    </row>
    <row r="203">
      <c r="A203" s="69"/>
    </row>
    <row r="204">
      <c r="A204" s="69"/>
    </row>
    <row r="205">
      <c r="A205" s="69"/>
    </row>
    <row r="206">
      <c r="A206" s="69"/>
    </row>
    <row r="207">
      <c r="A207" s="69"/>
    </row>
    <row r="208">
      <c r="A208" s="69"/>
    </row>
    <row r="209">
      <c r="A209" s="69"/>
    </row>
    <row r="210">
      <c r="A210" s="69"/>
    </row>
    <row r="211">
      <c r="A211" s="69"/>
    </row>
    <row r="212">
      <c r="A212" s="69"/>
    </row>
    <row r="213">
      <c r="A213" s="69"/>
    </row>
    <row r="214">
      <c r="A214" s="69"/>
    </row>
    <row r="215">
      <c r="A215" s="69"/>
    </row>
    <row r="216">
      <c r="A216" s="69"/>
    </row>
    <row r="217">
      <c r="A217" s="69"/>
    </row>
    <row r="218">
      <c r="A218" s="69"/>
    </row>
    <row r="219">
      <c r="A219" s="69"/>
    </row>
    <row r="220">
      <c r="A220" s="69"/>
    </row>
    <row r="221">
      <c r="A221" s="69"/>
    </row>
    <row r="222">
      <c r="A222" s="69"/>
    </row>
    <row r="223">
      <c r="A223" s="69"/>
    </row>
    <row r="224">
      <c r="A224" s="69"/>
    </row>
    <row r="225">
      <c r="A225" s="69"/>
    </row>
    <row r="226">
      <c r="A226" s="69"/>
    </row>
    <row r="227">
      <c r="A227" s="69"/>
    </row>
    <row r="228">
      <c r="A228" s="69"/>
    </row>
    <row r="229">
      <c r="A229" s="69"/>
    </row>
    <row r="230">
      <c r="A230" s="69"/>
    </row>
    <row r="231">
      <c r="A231" s="69"/>
    </row>
    <row r="232">
      <c r="A232" s="69"/>
    </row>
    <row r="233">
      <c r="A233" s="69"/>
    </row>
    <row r="234">
      <c r="A234" s="69"/>
    </row>
    <row r="235">
      <c r="A235" s="69"/>
    </row>
    <row r="236">
      <c r="A236" s="69"/>
    </row>
    <row r="237">
      <c r="A237" s="69"/>
    </row>
    <row r="238">
      <c r="A238" s="69"/>
    </row>
    <row r="239">
      <c r="A239" s="69"/>
    </row>
    <row r="240">
      <c r="A240" s="69"/>
    </row>
    <row r="241">
      <c r="A241" s="69"/>
    </row>
    <row r="242">
      <c r="A242" s="69"/>
    </row>
    <row r="243">
      <c r="A243" s="69"/>
    </row>
    <row r="244">
      <c r="A244" s="69"/>
    </row>
    <row r="245">
      <c r="A245" s="69"/>
    </row>
    <row r="246">
      <c r="A246" s="69"/>
    </row>
    <row r="247">
      <c r="A247" s="69"/>
    </row>
    <row r="248">
      <c r="A248" s="69"/>
    </row>
    <row r="249">
      <c r="A249" s="69"/>
    </row>
    <row r="250">
      <c r="A250" s="69"/>
    </row>
    <row r="251">
      <c r="A251" s="69"/>
    </row>
    <row r="252">
      <c r="A252" s="69"/>
    </row>
    <row r="253">
      <c r="A253" s="69"/>
    </row>
    <row r="254">
      <c r="A254" s="69"/>
    </row>
    <row r="255">
      <c r="A255" s="69"/>
    </row>
    <row r="256">
      <c r="A256" s="69"/>
    </row>
    <row r="257">
      <c r="A257" s="69"/>
    </row>
    <row r="258">
      <c r="A258" s="69"/>
    </row>
    <row r="259">
      <c r="A259" s="69"/>
    </row>
    <row r="260">
      <c r="A260" s="69"/>
    </row>
    <row r="261">
      <c r="A261" s="69"/>
    </row>
    <row r="262">
      <c r="A262" s="69"/>
    </row>
    <row r="263">
      <c r="A263" s="69"/>
    </row>
    <row r="264">
      <c r="A264" s="69"/>
    </row>
    <row r="265">
      <c r="A265" s="69"/>
    </row>
    <row r="266">
      <c r="A266" s="69"/>
    </row>
    <row r="267">
      <c r="A267" s="69"/>
    </row>
    <row r="268">
      <c r="A268" s="69"/>
    </row>
    <row r="269">
      <c r="A269" s="69"/>
    </row>
    <row r="270">
      <c r="A270" s="69"/>
    </row>
    <row r="271">
      <c r="A271" s="69"/>
    </row>
    <row r="272">
      <c r="A272" s="69"/>
    </row>
    <row r="273">
      <c r="A273" s="69"/>
    </row>
    <row r="274">
      <c r="A274" s="69"/>
    </row>
    <row r="275">
      <c r="A275" s="69"/>
    </row>
    <row r="276">
      <c r="A276" s="69"/>
    </row>
    <row r="277">
      <c r="A277" s="69"/>
    </row>
    <row r="278">
      <c r="A278" s="69"/>
    </row>
    <row r="279">
      <c r="A279" s="69"/>
    </row>
    <row r="280">
      <c r="A280" s="69"/>
    </row>
    <row r="281">
      <c r="A281" s="69"/>
    </row>
    <row r="282">
      <c r="A282" s="69"/>
    </row>
    <row r="283">
      <c r="A283" s="69"/>
    </row>
    <row r="284">
      <c r="A284" s="69"/>
    </row>
    <row r="285">
      <c r="A285" s="69"/>
    </row>
    <row r="286">
      <c r="A286" s="69"/>
    </row>
    <row r="287">
      <c r="A287" s="69"/>
    </row>
    <row r="288">
      <c r="A288" s="69"/>
    </row>
    <row r="289">
      <c r="A289" s="69"/>
    </row>
    <row r="290">
      <c r="A290" s="69"/>
    </row>
    <row r="291">
      <c r="A291" s="69"/>
    </row>
    <row r="292">
      <c r="A292" s="69"/>
    </row>
    <row r="293">
      <c r="A293" s="69"/>
    </row>
    <row r="294">
      <c r="A294" s="69"/>
    </row>
    <row r="295">
      <c r="A295" s="69"/>
    </row>
    <row r="296">
      <c r="A296" s="69"/>
    </row>
    <row r="297">
      <c r="A297" s="69"/>
    </row>
    <row r="298">
      <c r="A298" s="69"/>
    </row>
    <row r="299">
      <c r="A299" s="69"/>
    </row>
    <row r="300">
      <c r="A300" s="69"/>
    </row>
    <row r="301">
      <c r="A301" s="69"/>
    </row>
    <row r="302">
      <c r="A302" s="69"/>
    </row>
    <row r="303">
      <c r="A303" s="69"/>
    </row>
    <row r="304">
      <c r="A304" s="69"/>
    </row>
    <row r="305">
      <c r="A305" s="69"/>
    </row>
    <row r="306">
      <c r="A306" s="69"/>
    </row>
    <row r="307">
      <c r="A307" s="69"/>
    </row>
    <row r="308">
      <c r="A308" s="69"/>
    </row>
    <row r="309">
      <c r="A309" s="69"/>
    </row>
    <row r="310">
      <c r="A310" s="69"/>
    </row>
    <row r="311">
      <c r="A311" s="69"/>
    </row>
    <row r="312">
      <c r="A312" s="69"/>
    </row>
    <row r="313">
      <c r="A313" s="69"/>
    </row>
    <row r="314">
      <c r="A314" s="69"/>
    </row>
    <row r="315">
      <c r="A315" s="69"/>
    </row>
    <row r="316">
      <c r="A316" s="69"/>
    </row>
    <row r="317">
      <c r="A317" s="69"/>
    </row>
    <row r="318">
      <c r="A318" s="69"/>
    </row>
    <row r="319">
      <c r="A319" s="69"/>
    </row>
    <row r="320">
      <c r="A320" s="69"/>
    </row>
    <row r="321">
      <c r="A321" s="69"/>
    </row>
    <row r="322">
      <c r="A322" s="69"/>
    </row>
    <row r="323">
      <c r="A323" s="69"/>
    </row>
    <row r="324">
      <c r="A324" s="69"/>
    </row>
    <row r="325">
      <c r="A325" s="69"/>
    </row>
    <row r="326">
      <c r="A326" s="69"/>
    </row>
    <row r="327">
      <c r="A327" s="69"/>
    </row>
    <row r="328">
      <c r="A328" s="69"/>
    </row>
    <row r="329">
      <c r="A329" s="69"/>
    </row>
    <row r="330">
      <c r="A330" s="69"/>
    </row>
    <row r="331">
      <c r="A331" s="69"/>
    </row>
    <row r="332">
      <c r="A332" s="69"/>
    </row>
    <row r="333">
      <c r="A333" s="69"/>
    </row>
    <row r="334">
      <c r="A334" s="69"/>
    </row>
    <row r="335">
      <c r="A335" s="69"/>
    </row>
    <row r="336">
      <c r="A336" s="69"/>
    </row>
    <row r="337">
      <c r="A337" s="69"/>
    </row>
    <row r="338">
      <c r="A338" s="69"/>
    </row>
    <row r="339">
      <c r="A339" s="69"/>
    </row>
    <row r="340">
      <c r="A340" s="69"/>
    </row>
    <row r="341">
      <c r="A341" s="69"/>
    </row>
    <row r="342">
      <c r="A342" s="69"/>
    </row>
    <row r="343">
      <c r="A343" s="69"/>
    </row>
    <row r="344">
      <c r="A344" s="69"/>
    </row>
    <row r="345">
      <c r="A345" s="69"/>
    </row>
    <row r="346">
      <c r="A346" s="69"/>
    </row>
    <row r="347">
      <c r="A347" s="69"/>
    </row>
    <row r="348">
      <c r="A348" s="69"/>
    </row>
    <row r="349">
      <c r="A349" s="69"/>
    </row>
    <row r="350">
      <c r="A350" s="69"/>
    </row>
    <row r="351">
      <c r="A351" s="69"/>
    </row>
    <row r="352">
      <c r="A352" s="69"/>
    </row>
    <row r="353">
      <c r="A353" s="69"/>
    </row>
    <row r="354">
      <c r="A354" s="69"/>
    </row>
    <row r="355">
      <c r="A355" s="69"/>
    </row>
    <row r="356">
      <c r="A356" s="69"/>
    </row>
    <row r="357">
      <c r="A357" s="69"/>
    </row>
    <row r="358">
      <c r="A358" s="69"/>
    </row>
    <row r="359">
      <c r="A359" s="69"/>
    </row>
    <row r="360">
      <c r="A360" s="69"/>
    </row>
    <row r="361">
      <c r="A361" s="69"/>
    </row>
    <row r="362">
      <c r="A362" s="69"/>
    </row>
    <row r="363">
      <c r="A363" s="69"/>
    </row>
    <row r="364">
      <c r="A364" s="69"/>
    </row>
    <row r="365">
      <c r="A365" s="69"/>
    </row>
    <row r="366">
      <c r="A366" s="69"/>
    </row>
    <row r="367">
      <c r="A367" s="69"/>
    </row>
    <row r="368">
      <c r="A368" s="69"/>
    </row>
    <row r="369">
      <c r="A369" s="69"/>
    </row>
    <row r="370">
      <c r="A370" s="69"/>
    </row>
    <row r="371">
      <c r="A371" s="69"/>
    </row>
    <row r="372">
      <c r="A372" s="69"/>
    </row>
    <row r="373">
      <c r="A373" s="69"/>
    </row>
    <row r="374">
      <c r="A374" s="69"/>
    </row>
    <row r="375">
      <c r="A375" s="69"/>
    </row>
    <row r="376">
      <c r="A376" s="69"/>
    </row>
    <row r="377">
      <c r="A377" s="69"/>
    </row>
    <row r="378">
      <c r="A378" s="69"/>
    </row>
    <row r="379">
      <c r="A379" s="69"/>
    </row>
    <row r="380">
      <c r="A380" s="69"/>
    </row>
    <row r="381">
      <c r="A381" s="69"/>
    </row>
    <row r="382">
      <c r="A382" s="69"/>
    </row>
    <row r="383">
      <c r="A383" s="69"/>
    </row>
    <row r="384">
      <c r="A384" s="69"/>
    </row>
    <row r="385">
      <c r="A385" s="69"/>
    </row>
    <row r="386">
      <c r="A386" s="69"/>
    </row>
    <row r="387">
      <c r="A387" s="69"/>
    </row>
    <row r="388">
      <c r="A388" s="69"/>
    </row>
    <row r="389">
      <c r="A389" s="69"/>
    </row>
    <row r="390">
      <c r="A390" s="69"/>
    </row>
    <row r="391">
      <c r="A391" s="69"/>
    </row>
    <row r="392">
      <c r="A392" s="69"/>
    </row>
    <row r="393">
      <c r="A393" s="69"/>
    </row>
    <row r="394">
      <c r="A394" s="69"/>
    </row>
    <row r="395">
      <c r="A395" s="69"/>
    </row>
    <row r="396">
      <c r="A396" s="69"/>
    </row>
    <row r="397">
      <c r="A397" s="69"/>
    </row>
    <row r="398">
      <c r="A398" s="69"/>
    </row>
    <row r="399">
      <c r="A399" s="69"/>
    </row>
    <row r="400">
      <c r="A400" s="69"/>
    </row>
    <row r="401">
      <c r="A401" s="69"/>
    </row>
    <row r="402">
      <c r="A402" s="69"/>
    </row>
    <row r="403">
      <c r="A403" s="69"/>
    </row>
    <row r="404">
      <c r="A404" s="69"/>
    </row>
    <row r="405">
      <c r="A405" s="69"/>
    </row>
    <row r="406">
      <c r="A406" s="69"/>
    </row>
    <row r="407">
      <c r="A407" s="69"/>
    </row>
    <row r="408">
      <c r="A408" s="69"/>
    </row>
    <row r="409">
      <c r="A409" s="69"/>
    </row>
    <row r="410">
      <c r="A410" s="69"/>
    </row>
    <row r="411">
      <c r="A411" s="69"/>
    </row>
    <row r="412">
      <c r="A412" s="69"/>
    </row>
    <row r="413">
      <c r="A413" s="69"/>
    </row>
    <row r="414">
      <c r="A414" s="69"/>
    </row>
    <row r="415">
      <c r="A415" s="69"/>
    </row>
    <row r="416">
      <c r="A416" s="69"/>
    </row>
    <row r="417">
      <c r="A417" s="69"/>
    </row>
    <row r="418">
      <c r="A418" s="69"/>
    </row>
    <row r="419">
      <c r="A419" s="69"/>
    </row>
    <row r="420">
      <c r="A420" s="69"/>
    </row>
    <row r="421">
      <c r="A421" s="69"/>
    </row>
    <row r="422">
      <c r="A422" s="69"/>
    </row>
    <row r="423">
      <c r="A423" s="69"/>
    </row>
    <row r="424">
      <c r="A424" s="69"/>
    </row>
    <row r="425">
      <c r="A425" s="69"/>
    </row>
    <row r="426">
      <c r="A426" s="69"/>
    </row>
    <row r="427">
      <c r="A427" s="69"/>
    </row>
    <row r="428">
      <c r="A428" s="69"/>
    </row>
    <row r="429">
      <c r="A429" s="69"/>
    </row>
    <row r="430">
      <c r="A430" s="69"/>
    </row>
    <row r="431">
      <c r="A431" s="69"/>
    </row>
    <row r="432">
      <c r="A432" s="69"/>
    </row>
    <row r="433">
      <c r="A433" s="69"/>
    </row>
    <row r="434">
      <c r="A434" s="69"/>
    </row>
    <row r="435">
      <c r="A435" s="69"/>
    </row>
    <row r="436">
      <c r="A436" s="69"/>
    </row>
    <row r="437">
      <c r="A437" s="69"/>
    </row>
    <row r="438">
      <c r="A438" s="69"/>
    </row>
    <row r="439">
      <c r="A439" s="69"/>
    </row>
    <row r="440">
      <c r="A440" s="69"/>
    </row>
    <row r="441">
      <c r="A441" s="69"/>
    </row>
    <row r="442">
      <c r="A442" s="69"/>
    </row>
    <row r="443">
      <c r="A443" s="69"/>
    </row>
    <row r="444">
      <c r="A444" s="69"/>
    </row>
    <row r="445">
      <c r="A445" s="69"/>
    </row>
    <row r="446">
      <c r="A446" s="69"/>
    </row>
    <row r="447">
      <c r="A447" s="69"/>
    </row>
    <row r="448">
      <c r="A448" s="69"/>
    </row>
    <row r="449">
      <c r="A449" s="69"/>
    </row>
    <row r="450">
      <c r="A450" s="69"/>
    </row>
    <row r="451">
      <c r="A451" s="69"/>
    </row>
    <row r="452">
      <c r="A452" s="69"/>
    </row>
    <row r="453">
      <c r="A453" s="69"/>
    </row>
    <row r="454">
      <c r="A454" s="69"/>
    </row>
    <row r="455">
      <c r="A455" s="69"/>
    </row>
    <row r="456">
      <c r="A456" s="69"/>
    </row>
    <row r="457">
      <c r="A457" s="69"/>
    </row>
    <row r="458">
      <c r="A458" s="69"/>
    </row>
    <row r="459">
      <c r="A459" s="69"/>
    </row>
    <row r="460">
      <c r="A460" s="69"/>
    </row>
    <row r="461">
      <c r="A461" s="69"/>
    </row>
    <row r="462">
      <c r="A462" s="69"/>
    </row>
    <row r="463">
      <c r="A463" s="69"/>
    </row>
    <row r="464">
      <c r="A464" s="69"/>
    </row>
    <row r="465">
      <c r="A465" s="69"/>
    </row>
    <row r="466">
      <c r="A466" s="69"/>
    </row>
    <row r="467">
      <c r="A467" s="69"/>
    </row>
    <row r="468">
      <c r="A468" s="69"/>
    </row>
    <row r="469">
      <c r="A469" s="69"/>
    </row>
    <row r="470">
      <c r="A470" s="69"/>
    </row>
    <row r="471">
      <c r="A471" s="69"/>
    </row>
    <row r="472">
      <c r="A472" s="69"/>
    </row>
    <row r="473">
      <c r="A473" s="69"/>
    </row>
    <row r="474">
      <c r="A474" s="69"/>
    </row>
    <row r="475">
      <c r="A475" s="69"/>
    </row>
    <row r="476">
      <c r="A476" s="69"/>
    </row>
    <row r="477">
      <c r="A477" s="69"/>
    </row>
    <row r="478">
      <c r="A478" s="69"/>
    </row>
    <row r="479">
      <c r="A479" s="69"/>
    </row>
    <row r="480">
      <c r="A480" s="69"/>
    </row>
    <row r="481">
      <c r="A481" s="69"/>
    </row>
    <row r="482">
      <c r="A482" s="69"/>
    </row>
    <row r="483">
      <c r="A483" s="69"/>
    </row>
    <row r="484">
      <c r="A484" s="69"/>
    </row>
    <row r="485">
      <c r="A485" s="69"/>
    </row>
    <row r="486">
      <c r="A486" s="69"/>
    </row>
    <row r="487">
      <c r="A487" s="69"/>
    </row>
    <row r="488">
      <c r="A488" s="69"/>
    </row>
    <row r="489">
      <c r="A489" s="69"/>
    </row>
    <row r="490">
      <c r="A490" s="69"/>
    </row>
    <row r="491">
      <c r="A491" s="69"/>
    </row>
    <row r="492">
      <c r="A492" s="69"/>
    </row>
    <row r="493">
      <c r="A493" s="69"/>
    </row>
    <row r="494">
      <c r="A494" s="69"/>
    </row>
    <row r="495">
      <c r="A495" s="69"/>
    </row>
    <row r="496">
      <c r="A496" s="69"/>
    </row>
    <row r="497">
      <c r="A497" s="69"/>
    </row>
    <row r="498">
      <c r="A498" s="69"/>
    </row>
    <row r="499">
      <c r="A499" s="69"/>
    </row>
    <row r="500">
      <c r="A500" s="69"/>
    </row>
    <row r="501">
      <c r="A501" s="69"/>
    </row>
    <row r="502">
      <c r="A502" s="69"/>
    </row>
    <row r="503">
      <c r="A503" s="69"/>
    </row>
    <row r="504">
      <c r="A504" s="69"/>
    </row>
    <row r="505">
      <c r="A505" s="69"/>
    </row>
    <row r="506">
      <c r="A506" s="69"/>
    </row>
    <row r="507">
      <c r="A507" s="69"/>
    </row>
    <row r="508">
      <c r="A508" s="69"/>
    </row>
    <row r="509">
      <c r="A509" s="69"/>
    </row>
    <row r="510">
      <c r="A510" s="69"/>
    </row>
    <row r="511">
      <c r="A511" s="69"/>
    </row>
    <row r="512">
      <c r="A512" s="69"/>
    </row>
    <row r="513">
      <c r="A513" s="69"/>
    </row>
    <row r="514">
      <c r="A514" s="69"/>
    </row>
    <row r="515">
      <c r="A515" s="69"/>
    </row>
    <row r="516">
      <c r="A516" s="69"/>
    </row>
    <row r="517">
      <c r="A517" s="69"/>
    </row>
    <row r="518">
      <c r="A518" s="69"/>
    </row>
    <row r="519">
      <c r="A519" s="69"/>
    </row>
    <row r="520">
      <c r="A520" s="69"/>
    </row>
    <row r="521">
      <c r="A521" s="69"/>
    </row>
    <row r="522">
      <c r="A522" s="69"/>
    </row>
    <row r="523">
      <c r="A523" s="69"/>
    </row>
    <row r="524">
      <c r="A524" s="69"/>
    </row>
    <row r="525">
      <c r="A525" s="69"/>
    </row>
    <row r="526">
      <c r="A526" s="69"/>
    </row>
    <row r="527">
      <c r="A527" s="69"/>
    </row>
    <row r="528">
      <c r="A528" s="69"/>
    </row>
    <row r="529">
      <c r="A529" s="69"/>
    </row>
    <row r="530">
      <c r="A530" s="69"/>
    </row>
    <row r="531">
      <c r="A531" s="69"/>
    </row>
    <row r="532">
      <c r="A532" s="69"/>
    </row>
    <row r="533">
      <c r="A533" s="69"/>
    </row>
    <row r="534">
      <c r="A534" s="69"/>
    </row>
    <row r="535">
      <c r="A535" s="69"/>
    </row>
    <row r="536">
      <c r="A536" s="69"/>
    </row>
    <row r="537">
      <c r="A537" s="69"/>
    </row>
    <row r="538">
      <c r="A538" s="69"/>
    </row>
    <row r="539">
      <c r="A539" s="69"/>
    </row>
    <row r="540">
      <c r="A540" s="69"/>
    </row>
    <row r="541">
      <c r="A541" s="69"/>
    </row>
    <row r="542">
      <c r="A542" s="69"/>
    </row>
    <row r="543">
      <c r="A543" s="69"/>
    </row>
    <row r="544">
      <c r="A544" s="69"/>
    </row>
    <row r="545">
      <c r="A545" s="69"/>
    </row>
    <row r="546">
      <c r="A546" s="69"/>
    </row>
    <row r="547">
      <c r="A547" s="69"/>
    </row>
    <row r="548">
      <c r="A548" s="69"/>
    </row>
    <row r="549">
      <c r="A549" s="69"/>
    </row>
    <row r="550">
      <c r="A550" s="69"/>
    </row>
    <row r="551">
      <c r="A551" s="69"/>
    </row>
    <row r="552">
      <c r="A552" s="69"/>
    </row>
    <row r="553">
      <c r="A553" s="69"/>
    </row>
    <row r="554">
      <c r="A554" s="69"/>
    </row>
    <row r="555">
      <c r="A555" s="69"/>
    </row>
    <row r="556">
      <c r="A556" s="69"/>
    </row>
    <row r="557">
      <c r="A557" s="69"/>
    </row>
    <row r="558">
      <c r="A558" s="69"/>
    </row>
    <row r="559">
      <c r="A559" s="69"/>
    </row>
    <row r="560">
      <c r="A560" s="69"/>
    </row>
    <row r="561">
      <c r="A561" s="69"/>
    </row>
    <row r="562">
      <c r="A562" s="69"/>
    </row>
    <row r="563">
      <c r="A563" s="69"/>
    </row>
    <row r="564">
      <c r="A564" s="69"/>
    </row>
    <row r="565">
      <c r="A565" s="69"/>
    </row>
    <row r="566">
      <c r="A566" s="69"/>
    </row>
    <row r="567">
      <c r="A567" s="69"/>
    </row>
    <row r="568">
      <c r="A568" s="69"/>
    </row>
    <row r="569">
      <c r="A569" s="69"/>
    </row>
    <row r="570">
      <c r="A570" s="69"/>
    </row>
    <row r="571">
      <c r="A571" s="69"/>
    </row>
    <row r="572">
      <c r="A572" s="69"/>
    </row>
    <row r="573">
      <c r="A573" s="69"/>
    </row>
    <row r="574">
      <c r="A574" s="69"/>
    </row>
    <row r="575">
      <c r="A575" s="69"/>
    </row>
    <row r="576">
      <c r="A576" s="69"/>
    </row>
    <row r="577">
      <c r="A577" s="69"/>
    </row>
    <row r="578">
      <c r="A578" s="69"/>
    </row>
    <row r="579">
      <c r="A579" s="69"/>
    </row>
    <row r="580">
      <c r="A580" s="69"/>
    </row>
    <row r="581">
      <c r="A581" s="69"/>
    </row>
    <row r="582">
      <c r="A582" s="69"/>
    </row>
    <row r="583">
      <c r="A583" s="69"/>
    </row>
    <row r="584">
      <c r="A584" s="69"/>
    </row>
    <row r="585">
      <c r="A585" s="69"/>
    </row>
    <row r="586">
      <c r="A586" s="69"/>
    </row>
    <row r="587">
      <c r="A587" s="69"/>
    </row>
    <row r="588">
      <c r="A588" s="69"/>
    </row>
    <row r="589">
      <c r="A589" s="69"/>
    </row>
    <row r="590">
      <c r="A590" s="69"/>
    </row>
    <row r="591">
      <c r="A591" s="69"/>
    </row>
    <row r="592">
      <c r="A592" s="69"/>
    </row>
    <row r="593">
      <c r="A593" s="69"/>
    </row>
    <row r="594">
      <c r="A594" s="69"/>
    </row>
    <row r="595">
      <c r="A595" s="69"/>
    </row>
    <row r="596">
      <c r="A596" s="69"/>
    </row>
    <row r="597">
      <c r="A597" s="69"/>
    </row>
    <row r="598">
      <c r="A598" s="69"/>
    </row>
    <row r="599">
      <c r="A599" s="69"/>
    </row>
    <row r="600">
      <c r="A600" s="69"/>
    </row>
    <row r="601">
      <c r="A601" s="69"/>
    </row>
    <row r="602">
      <c r="A602" s="69"/>
    </row>
    <row r="603">
      <c r="A603" s="69"/>
    </row>
    <row r="604">
      <c r="A604" s="69"/>
    </row>
    <row r="605">
      <c r="A605" s="69"/>
    </row>
    <row r="606">
      <c r="A606" s="69"/>
    </row>
    <row r="607">
      <c r="A607" s="69"/>
    </row>
    <row r="608">
      <c r="A608" s="69"/>
    </row>
    <row r="609">
      <c r="A609" s="69"/>
    </row>
    <row r="610">
      <c r="A610" s="69"/>
    </row>
    <row r="611">
      <c r="A611" s="69"/>
    </row>
    <row r="612">
      <c r="A612" s="69"/>
    </row>
    <row r="613">
      <c r="A613" s="69"/>
    </row>
    <row r="614">
      <c r="A614" s="69"/>
    </row>
    <row r="615">
      <c r="A615" s="69"/>
    </row>
    <row r="616">
      <c r="A616" s="69"/>
    </row>
    <row r="617">
      <c r="A617" s="69"/>
    </row>
    <row r="618">
      <c r="A618" s="69"/>
    </row>
    <row r="619">
      <c r="A619" s="69"/>
    </row>
    <row r="620">
      <c r="A620" s="69"/>
    </row>
    <row r="621">
      <c r="A621" s="69"/>
    </row>
    <row r="622">
      <c r="A622" s="69"/>
    </row>
    <row r="623">
      <c r="A623" s="69"/>
    </row>
    <row r="624">
      <c r="A624" s="69"/>
    </row>
    <row r="625">
      <c r="A625" s="69"/>
    </row>
    <row r="626">
      <c r="A626" s="69"/>
    </row>
    <row r="627">
      <c r="A627" s="69"/>
    </row>
    <row r="628">
      <c r="A628" s="69"/>
    </row>
    <row r="629">
      <c r="A629" s="69"/>
    </row>
    <row r="630">
      <c r="A630" s="69"/>
    </row>
    <row r="631">
      <c r="A631" s="69"/>
    </row>
    <row r="632">
      <c r="A632" s="69"/>
    </row>
    <row r="633">
      <c r="A633" s="69"/>
    </row>
    <row r="634">
      <c r="A634" s="69"/>
    </row>
    <row r="635">
      <c r="A635" s="69"/>
    </row>
    <row r="636">
      <c r="A636" s="69"/>
    </row>
    <row r="637">
      <c r="A637" s="69"/>
    </row>
    <row r="638">
      <c r="A638" s="69"/>
    </row>
    <row r="639">
      <c r="A639" s="69"/>
    </row>
    <row r="640">
      <c r="A640" s="69"/>
    </row>
    <row r="641">
      <c r="A641" s="69"/>
    </row>
    <row r="642">
      <c r="A642" s="69"/>
    </row>
    <row r="643">
      <c r="A643" s="69"/>
    </row>
    <row r="644">
      <c r="A644" s="69"/>
    </row>
    <row r="645">
      <c r="A645" s="69"/>
    </row>
    <row r="646">
      <c r="A646" s="69"/>
    </row>
    <row r="647">
      <c r="A647" s="69"/>
    </row>
    <row r="648">
      <c r="A648" s="69"/>
    </row>
    <row r="649">
      <c r="A649" s="69"/>
    </row>
    <row r="650">
      <c r="A650" s="69"/>
    </row>
    <row r="651">
      <c r="A651" s="69"/>
    </row>
    <row r="652">
      <c r="A652" s="69"/>
    </row>
    <row r="653">
      <c r="A653" s="69"/>
    </row>
    <row r="654">
      <c r="A654" s="69"/>
    </row>
    <row r="655">
      <c r="A655" s="69"/>
    </row>
    <row r="656">
      <c r="A656" s="69"/>
    </row>
    <row r="657">
      <c r="A657" s="69"/>
    </row>
    <row r="658">
      <c r="A658" s="69"/>
    </row>
    <row r="659">
      <c r="A659" s="69"/>
    </row>
    <row r="660">
      <c r="A660" s="69"/>
    </row>
    <row r="661">
      <c r="A661" s="69"/>
    </row>
    <row r="662">
      <c r="A662" s="69"/>
    </row>
    <row r="663">
      <c r="A663" s="69"/>
    </row>
    <row r="664">
      <c r="A664" s="69"/>
    </row>
    <row r="665">
      <c r="A665" s="69"/>
    </row>
    <row r="666">
      <c r="A666" s="69"/>
    </row>
    <row r="667">
      <c r="A667" s="69"/>
    </row>
    <row r="668">
      <c r="A668" s="69"/>
    </row>
    <row r="669">
      <c r="A669" s="69"/>
    </row>
    <row r="670">
      <c r="A670" s="69"/>
    </row>
    <row r="671">
      <c r="A671" s="69"/>
    </row>
    <row r="672">
      <c r="A672" s="69"/>
    </row>
    <row r="673">
      <c r="A673" s="69"/>
    </row>
    <row r="674">
      <c r="A674" s="69"/>
    </row>
    <row r="675">
      <c r="A675" s="69"/>
    </row>
    <row r="676">
      <c r="A676" s="69"/>
    </row>
    <row r="677">
      <c r="A677" s="69"/>
    </row>
    <row r="678">
      <c r="A678" s="69"/>
    </row>
    <row r="679">
      <c r="A679" s="69"/>
    </row>
    <row r="680">
      <c r="A680" s="69"/>
    </row>
    <row r="681">
      <c r="A681" s="69"/>
    </row>
    <row r="682">
      <c r="A682" s="69"/>
    </row>
    <row r="683">
      <c r="A683" s="69"/>
    </row>
    <row r="684">
      <c r="A684" s="69"/>
    </row>
    <row r="685">
      <c r="A685" s="69"/>
    </row>
    <row r="686">
      <c r="A686" s="69"/>
    </row>
    <row r="687">
      <c r="A687" s="69"/>
    </row>
    <row r="688">
      <c r="A688" s="69"/>
    </row>
    <row r="689">
      <c r="A689" s="69"/>
    </row>
    <row r="690">
      <c r="A690" s="69"/>
    </row>
    <row r="691">
      <c r="A691" s="69"/>
    </row>
    <row r="692">
      <c r="A692" s="69"/>
    </row>
    <row r="693">
      <c r="A693" s="69"/>
    </row>
    <row r="694">
      <c r="A694" s="69"/>
    </row>
    <row r="695">
      <c r="A695" s="69"/>
    </row>
    <row r="696">
      <c r="A696" s="69"/>
    </row>
    <row r="697">
      <c r="A697" s="69"/>
    </row>
    <row r="698">
      <c r="A698" s="69"/>
    </row>
    <row r="699">
      <c r="A699" s="69"/>
    </row>
    <row r="700">
      <c r="A700" s="69"/>
    </row>
    <row r="701">
      <c r="A701" s="69"/>
    </row>
    <row r="702">
      <c r="A702" s="69"/>
    </row>
    <row r="703">
      <c r="A703" s="69"/>
    </row>
    <row r="704">
      <c r="A704" s="69"/>
    </row>
    <row r="705">
      <c r="A705" s="69"/>
    </row>
    <row r="706">
      <c r="A706" s="69"/>
    </row>
    <row r="707">
      <c r="A707" s="69"/>
    </row>
    <row r="708">
      <c r="A708" s="69"/>
    </row>
    <row r="709">
      <c r="A709" s="69"/>
    </row>
    <row r="710">
      <c r="A710" s="69"/>
    </row>
    <row r="711">
      <c r="A711" s="69"/>
    </row>
    <row r="712">
      <c r="A712" s="69"/>
    </row>
    <row r="713">
      <c r="A713" s="69"/>
    </row>
    <row r="714">
      <c r="A714" s="69"/>
    </row>
    <row r="715">
      <c r="A715" s="69"/>
    </row>
    <row r="716">
      <c r="A716" s="69"/>
    </row>
    <row r="717">
      <c r="A717" s="69"/>
    </row>
    <row r="718">
      <c r="A718" s="69"/>
    </row>
    <row r="719">
      <c r="A719" s="69"/>
    </row>
    <row r="720">
      <c r="A720" s="69"/>
    </row>
    <row r="721">
      <c r="A721" s="69"/>
    </row>
    <row r="722">
      <c r="A722" s="69"/>
    </row>
    <row r="723">
      <c r="A723" s="69"/>
    </row>
    <row r="724">
      <c r="A724" s="69"/>
    </row>
    <row r="725">
      <c r="A725" s="69"/>
    </row>
    <row r="726">
      <c r="A726" s="69"/>
    </row>
    <row r="727">
      <c r="A727" s="69"/>
    </row>
    <row r="728">
      <c r="A728" s="69"/>
    </row>
    <row r="729">
      <c r="A729" s="69"/>
    </row>
    <row r="730">
      <c r="A730" s="69"/>
    </row>
    <row r="731">
      <c r="A731" s="69"/>
    </row>
    <row r="732">
      <c r="A732" s="69"/>
    </row>
    <row r="733">
      <c r="A733" s="69"/>
    </row>
    <row r="734">
      <c r="A734" s="69"/>
    </row>
    <row r="735">
      <c r="A735" s="69"/>
    </row>
    <row r="736">
      <c r="A736" s="69"/>
    </row>
    <row r="737">
      <c r="A737" s="69"/>
    </row>
    <row r="738">
      <c r="A738" s="69"/>
    </row>
    <row r="739">
      <c r="A739" s="69"/>
    </row>
    <row r="740">
      <c r="A740" s="69"/>
    </row>
    <row r="741">
      <c r="A741" s="69"/>
    </row>
    <row r="742">
      <c r="A742" s="69"/>
    </row>
    <row r="743">
      <c r="A743" s="69"/>
    </row>
    <row r="744">
      <c r="A744" s="69"/>
    </row>
    <row r="745">
      <c r="A745" s="69"/>
    </row>
    <row r="746">
      <c r="A746" s="69"/>
    </row>
    <row r="747">
      <c r="A747" s="69"/>
    </row>
    <row r="748">
      <c r="A748" s="69"/>
    </row>
    <row r="749">
      <c r="A749" s="69"/>
    </row>
    <row r="750">
      <c r="A750" s="69"/>
    </row>
    <row r="751">
      <c r="A751" s="69"/>
    </row>
    <row r="752">
      <c r="A752" s="69"/>
    </row>
    <row r="753">
      <c r="A753" s="69"/>
    </row>
    <row r="754">
      <c r="A754" s="69"/>
    </row>
    <row r="755">
      <c r="A755" s="69"/>
    </row>
    <row r="756">
      <c r="A756" s="69"/>
    </row>
    <row r="757">
      <c r="A757" s="69"/>
    </row>
    <row r="758">
      <c r="A758" s="69"/>
    </row>
    <row r="759">
      <c r="A759" s="69"/>
    </row>
    <row r="760">
      <c r="A760" s="69"/>
    </row>
    <row r="761">
      <c r="A761" s="69"/>
    </row>
    <row r="762">
      <c r="A762" s="69"/>
    </row>
    <row r="763">
      <c r="A763" s="69"/>
    </row>
    <row r="764">
      <c r="A764" s="69"/>
    </row>
    <row r="765">
      <c r="A765" s="69"/>
    </row>
    <row r="766">
      <c r="A766" s="69"/>
    </row>
    <row r="767">
      <c r="A767" s="69"/>
    </row>
    <row r="768">
      <c r="A768" s="69"/>
    </row>
    <row r="769">
      <c r="A769" s="69"/>
    </row>
    <row r="770">
      <c r="A770" s="69"/>
    </row>
    <row r="771">
      <c r="A771" s="69"/>
    </row>
    <row r="772">
      <c r="A772" s="69"/>
    </row>
    <row r="773">
      <c r="A773" s="69"/>
    </row>
    <row r="774">
      <c r="A774" s="69"/>
    </row>
    <row r="775">
      <c r="A775" s="69"/>
    </row>
    <row r="776">
      <c r="A776" s="69"/>
    </row>
    <row r="777">
      <c r="A777" s="69"/>
    </row>
    <row r="778">
      <c r="A778" s="69"/>
    </row>
    <row r="779">
      <c r="A779" s="69"/>
    </row>
    <row r="780">
      <c r="A780" s="69"/>
    </row>
    <row r="781">
      <c r="A781" s="69"/>
    </row>
    <row r="782">
      <c r="A782" s="69"/>
    </row>
    <row r="783">
      <c r="A783" s="69"/>
    </row>
    <row r="784">
      <c r="A784" s="69"/>
    </row>
    <row r="785">
      <c r="A785" s="69"/>
    </row>
    <row r="786">
      <c r="A786" s="69"/>
    </row>
    <row r="787">
      <c r="A787" s="69"/>
    </row>
    <row r="788">
      <c r="A788" s="69"/>
    </row>
    <row r="789">
      <c r="A789" s="69"/>
    </row>
    <row r="790">
      <c r="A790" s="69"/>
    </row>
    <row r="791">
      <c r="A791" s="69"/>
    </row>
    <row r="792">
      <c r="A792" s="69"/>
    </row>
    <row r="793">
      <c r="A793" s="69"/>
    </row>
    <row r="794">
      <c r="A794" s="69"/>
    </row>
    <row r="795">
      <c r="A795" s="69"/>
    </row>
    <row r="796">
      <c r="A796" s="69"/>
    </row>
    <row r="797">
      <c r="A797" s="69"/>
    </row>
    <row r="798">
      <c r="A798" s="69"/>
    </row>
    <row r="799">
      <c r="A799" s="69"/>
    </row>
    <row r="800">
      <c r="A800" s="69"/>
    </row>
    <row r="801">
      <c r="A801" s="69"/>
    </row>
    <row r="802">
      <c r="A802" s="69"/>
    </row>
    <row r="803">
      <c r="A803" s="69"/>
    </row>
    <row r="804">
      <c r="A804" s="69"/>
    </row>
    <row r="805">
      <c r="A805" s="69"/>
    </row>
    <row r="806">
      <c r="A806" s="69"/>
    </row>
    <row r="807">
      <c r="A807" s="69"/>
    </row>
    <row r="808">
      <c r="A808" s="69"/>
    </row>
    <row r="809">
      <c r="A809" s="69"/>
    </row>
    <row r="810">
      <c r="A810" s="69"/>
    </row>
    <row r="811">
      <c r="A811" s="69"/>
    </row>
    <row r="812">
      <c r="A812" s="69"/>
    </row>
    <row r="813">
      <c r="A813" s="69"/>
    </row>
    <row r="814">
      <c r="A814" s="69"/>
    </row>
    <row r="815">
      <c r="A815" s="69"/>
    </row>
    <row r="816">
      <c r="A816" s="69"/>
    </row>
    <row r="817">
      <c r="A817" s="69"/>
    </row>
    <row r="818">
      <c r="A818" s="69"/>
    </row>
    <row r="819">
      <c r="A819" s="69"/>
    </row>
    <row r="820">
      <c r="A820" s="69"/>
    </row>
    <row r="821">
      <c r="A821" s="69"/>
    </row>
    <row r="822">
      <c r="A822" s="69"/>
    </row>
    <row r="823">
      <c r="A823" s="69"/>
    </row>
    <row r="824">
      <c r="A824" s="69"/>
    </row>
    <row r="825">
      <c r="A825" s="69"/>
    </row>
    <row r="826">
      <c r="A826" s="69"/>
    </row>
    <row r="827">
      <c r="A827" s="69"/>
    </row>
    <row r="828">
      <c r="A828" s="69"/>
    </row>
    <row r="829">
      <c r="A829" s="69"/>
    </row>
    <row r="830">
      <c r="A830" s="69"/>
    </row>
    <row r="831">
      <c r="A831" s="69"/>
    </row>
    <row r="832">
      <c r="A832" s="69"/>
    </row>
    <row r="833">
      <c r="A833" s="69"/>
    </row>
    <row r="834">
      <c r="A834" s="69"/>
    </row>
    <row r="835">
      <c r="A835" s="69"/>
    </row>
    <row r="836">
      <c r="A836" s="69"/>
    </row>
    <row r="837">
      <c r="A837" s="69"/>
    </row>
    <row r="838">
      <c r="A838" s="69"/>
    </row>
    <row r="839">
      <c r="A839" s="69"/>
    </row>
    <row r="840">
      <c r="A840" s="69"/>
    </row>
    <row r="841">
      <c r="A841" s="69"/>
    </row>
    <row r="842">
      <c r="A842" s="69"/>
    </row>
    <row r="843">
      <c r="A843" s="69"/>
    </row>
    <row r="844">
      <c r="A844" s="69"/>
    </row>
    <row r="845">
      <c r="A845" s="69"/>
    </row>
    <row r="846">
      <c r="A846" s="69"/>
    </row>
    <row r="847">
      <c r="A847" s="69"/>
    </row>
    <row r="848">
      <c r="A848" s="69"/>
    </row>
    <row r="849">
      <c r="A849" s="69"/>
    </row>
    <row r="850">
      <c r="A850" s="69"/>
    </row>
    <row r="851">
      <c r="A851" s="69"/>
    </row>
    <row r="852">
      <c r="A852" s="69"/>
    </row>
    <row r="853">
      <c r="A853" s="69"/>
    </row>
    <row r="854">
      <c r="A854" s="69"/>
    </row>
    <row r="855">
      <c r="A855" s="69"/>
    </row>
    <row r="856">
      <c r="A856" s="69"/>
    </row>
    <row r="857">
      <c r="A857" s="69"/>
    </row>
    <row r="858">
      <c r="A858" s="69"/>
    </row>
    <row r="859">
      <c r="A859" s="69"/>
    </row>
    <row r="860">
      <c r="A860" s="69"/>
    </row>
    <row r="861">
      <c r="A861" s="69"/>
    </row>
    <row r="862">
      <c r="A862" s="69"/>
    </row>
    <row r="863">
      <c r="A863" s="69"/>
    </row>
    <row r="864">
      <c r="A864" s="69"/>
    </row>
    <row r="865">
      <c r="A865" s="69"/>
    </row>
    <row r="866">
      <c r="A866" s="69"/>
    </row>
    <row r="867">
      <c r="A867" s="69"/>
    </row>
    <row r="868">
      <c r="A868" s="69"/>
    </row>
    <row r="869">
      <c r="A869" s="69"/>
    </row>
    <row r="870">
      <c r="A870" s="69"/>
    </row>
    <row r="871">
      <c r="A871" s="69"/>
    </row>
    <row r="872">
      <c r="A872" s="69"/>
    </row>
    <row r="873">
      <c r="A873" s="69"/>
    </row>
    <row r="874">
      <c r="A874" s="69"/>
    </row>
    <row r="875">
      <c r="A875" s="69"/>
    </row>
    <row r="876">
      <c r="A876" s="69"/>
    </row>
    <row r="877">
      <c r="A877" s="69"/>
    </row>
    <row r="878">
      <c r="A878" s="69"/>
    </row>
    <row r="879">
      <c r="A879" s="69"/>
    </row>
    <row r="880">
      <c r="A880" s="69"/>
    </row>
    <row r="881">
      <c r="A881" s="69"/>
    </row>
    <row r="882">
      <c r="A882" s="69"/>
    </row>
    <row r="883">
      <c r="A883" s="69"/>
    </row>
    <row r="884">
      <c r="A884" s="69"/>
    </row>
    <row r="885">
      <c r="A885" s="69"/>
    </row>
    <row r="886">
      <c r="A886" s="69"/>
    </row>
    <row r="887">
      <c r="A887" s="69"/>
    </row>
    <row r="888">
      <c r="A888" s="69"/>
    </row>
    <row r="889">
      <c r="A889" s="69"/>
    </row>
    <row r="890">
      <c r="A890" s="69"/>
    </row>
    <row r="891">
      <c r="A891" s="69"/>
    </row>
    <row r="892">
      <c r="A892" s="69"/>
    </row>
    <row r="893">
      <c r="A893" s="69"/>
    </row>
    <row r="894">
      <c r="A894" s="69"/>
    </row>
    <row r="895">
      <c r="A895" s="69"/>
    </row>
    <row r="896">
      <c r="A896" s="69"/>
    </row>
    <row r="897">
      <c r="A897" s="69"/>
    </row>
    <row r="898">
      <c r="A898" s="69"/>
    </row>
    <row r="899">
      <c r="A899" s="69"/>
    </row>
    <row r="900">
      <c r="A900" s="69"/>
    </row>
    <row r="901">
      <c r="A901" s="69"/>
    </row>
    <row r="902">
      <c r="A902" s="69"/>
    </row>
    <row r="903">
      <c r="A903" s="69"/>
    </row>
    <row r="904">
      <c r="A904" s="69"/>
    </row>
    <row r="905">
      <c r="A905" s="69"/>
    </row>
    <row r="906">
      <c r="A906" s="69"/>
    </row>
    <row r="907">
      <c r="A907" s="69"/>
    </row>
    <row r="908">
      <c r="A908" s="69"/>
    </row>
    <row r="909">
      <c r="A909" s="69"/>
    </row>
    <row r="910">
      <c r="A910" s="69"/>
    </row>
    <row r="911">
      <c r="A911" s="69"/>
    </row>
    <row r="912">
      <c r="A912" s="69"/>
    </row>
    <row r="913">
      <c r="A913" s="69"/>
    </row>
    <row r="914">
      <c r="A914" s="69"/>
    </row>
    <row r="915">
      <c r="A915" s="69"/>
    </row>
    <row r="916">
      <c r="A916" s="69"/>
    </row>
    <row r="917">
      <c r="A917" s="69"/>
    </row>
    <row r="918">
      <c r="A918" s="69"/>
    </row>
    <row r="919">
      <c r="A919" s="69"/>
    </row>
    <row r="920">
      <c r="A920" s="69"/>
    </row>
    <row r="921">
      <c r="A921" s="69"/>
    </row>
    <row r="922">
      <c r="A922" s="69"/>
    </row>
    <row r="923">
      <c r="A923" s="69"/>
    </row>
    <row r="924">
      <c r="A924" s="69"/>
    </row>
    <row r="925">
      <c r="A925" s="69"/>
    </row>
    <row r="926">
      <c r="A926" s="69"/>
    </row>
    <row r="927">
      <c r="A927" s="69"/>
    </row>
    <row r="928">
      <c r="A928" s="69"/>
    </row>
    <row r="929">
      <c r="A929" s="69"/>
    </row>
    <row r="930">
      <c r="A930" s="69"/>
    </row>
    <row r="931">
      <c r="A931" s="69"/>
    </row>
    <row r="932">
      <c r="A932" s="69"/>
    </row>
    <row r="933">
      <c r="A933" s="69"/>
    </row>
    <row r="934">
      <c r="A934" s="69"/>
    </row>
    <row r="935">
      <c r="A935" s="69"/>
    </row>
    <row r="936">
      <c r="A936" s="69"/>
    </row>
    <row r="937">
      <c r="A937" s="69"/>
    </row>
    <row r="938">
      <c r="A938" s="69"/>
    </row>
    <row r="939">
      <c r="A939" s="69"/>
    </row>
    <row r="940">
      <c r="A940" s="69"/>
    </row>
    <row r="941">
      <c r="A941" s="69"/>
    </row>
    <row r="942">
      <c r="A942" s="69"/>
    </row>
    <row r="943">
      <c r="A943" s="69"/>
    </row>
    <row r="944">
      <c r="A944" s="69"/>
    </row>
    <row r="945">
      <c r="A945" s="69"/>
    </row>
    <row r="946">
      <c r="A946" s="69"/>
    </row>
    <row r="947">
      <c r="A947" s="69"/>
    </row>
    <row r="948">
      <c r="A948" s="69"/>
    </row>
    <row r="949">
      <c r="A949" s="69"/>
    </row>
    <row r="950">
      <c r="A950" s="69"/>
    </row>
    <row r="951">
      <c r="A951" s="69"/>
    </row>
    <row r="952">
      <c r="A952" s="69"/>
    </row>
    <row r="953">
      <c r="A953" s="69"/>
    </row>
    <row r="954">
      <c r="A954" s="69"/>
    </row>
    <row r="955">
      <c r="A955" s="69"/>
    </row>
    <row r="956">
      <c r="A956" s="69"/>
    </row>
    <row r="957">
      <c r="A957" s="69"/>
    </row>
    <row r="958">
      <c r="A958" s="69"/>
    </row>
    <row r="959">
      <c r="A959" s="69"/>
    </row>
    <row r="960">
      <c r="A960" s="69"/>
    </row>
    <row r="961">
      <c r="A961" s="69"/>
    </row>
    <row r="962">
      <c r="A962" s="69"/>
    </row>
    <row r="963">
      <c r="A963" s="69"/>
    </row>
    <row r="964">
      <c r="A964" s="69"/>
    </row>
    <row r="965">
      <c r="A965" s="69"/>
    </row>
    <row r="966">
      <c r="A966" s="69"/>
    </row>
    <row r="967">
      <c r="A967" s="69"/>
    </row>
    <row r="968">
      <c r="A968" s="69"/>
    </row>
    <row r="969">
      <c r="A969" s="69"/>
    </row>
    <row r="970">
      <c r="A970" s="69"/>
    </row>
    <row r="971">
      <c r="A971" s="69"/>
    </row>
    <row r="972">
      <c r="A972" s="69"/>
    </row>
    <row r="973">
      <c r="A973" s="69"/>
    </row>
    <row r="974">
      <c r="A974" s="69"/>
    </row>
    <row r="975">
      <c r="A975" s="69"/>
    </row>
    <row r="976">
      <c r="A976" s="69"/>
    </row>
    <row r="977">
      <c r="A977" s="69"/>
    </row>
    <row r="978">
      <c r="A978" s="69"/>
    </row>
    <row r="979">
      <c r="A979" s="69"/>
    </row>
    <row r="980">
      <c r="A980" s="69"/>
    </row>
    <row r="981">
      <c r="A981" s="69"/>
    </row>
    <row r="982">
      <c r="A982" s="69"/>
    </row>
    <row r="983">
      <c r="A983" s="69"/>
    </row>
    <row r="984">
      <c r="A984" s="69"/>
    </row>
    <row r="985">
      <c r="A985" s="69"/>
    </row>
    <row r="986">
      <c r="A986" s="69"/>
    </row>
    <row r="987">
      <c r="A987" s="69"/>
    </row>
    <row r="988">
      <c r="A988" s="69"/>
    </row>
    <row r="989">
      <c r="A989" s="69"/>
    </row>
    <row r="990">
      <c r="A990" s="69"/>
    </row>
    <row r="991">
      <c r="A991" s="69"/>
    </row>
    <row r="992">
      <c r="A992" s="69"/>
    </row>
    <row r="993">
      <c r="A993" s="69"/>
    </row>
    <row r="994">
      <c r="A994" s="69"/>
    </row>
    <row r="995">
      <c r="A995" s="69"/>
    </row>
    <row r="996">
      <c r="A996" s="69"/>
    </row>
    <row r="997">
      <c r="A997" s="69"/>
    </row>
    <row r="998">
      <c r="A998" s="69"/>
    </row>
    <row r="999">
      <c r="A999" s="69"/>
    </row>
    <row r="1000">
      <c r="A1000" s="69"/>
    </row>
    <row r="1001">
      <c r="A1001" s="69"/>
    </row>
    <row r="1002">
      <c r="A1002" s="69"/>
    </row>
    <row r="1003">
      <c r="A1003" s="69"/>
    </row>
    <row r="1004">
      <c r="A1004" s="69"/>
    </row>
    <row r="1005">
      <c r="A1005" s="69"/>
    </row>
    <row r="1006">
      <c r="A1006" s="69"/>
    </row>
    <row r="1007">
      <c r="A1007" s="69"/>
    </row>
    <row r="1008">
      <c r="A1008" s="69"/>
    </row>
    <row r="1009">
      <c r="A1009" s="69"/>
    </row>
    <row r="1010">
      <c r="A1010" s="69"/>
    </row>
    <row r="1011">
      <c r="A1011" s="69"/>
    </row>
    <row r="1012">
      <c r="A1012" s="69"/>
    </row>
    <row r="1013">
      <c r="A1013" s="69"/>
    </row>
    <row r="1014">
      <c r="A1014" s="69"/>
    </row>
    <row r="1015">
      <c r="A1015" s="69"/>
    </row>
    <row r="1016">
      <c r="A1016" s="69"/>
    </row>
    <row r="1017">
      <c r="A1017" s="69"/>
    </row>
    <row r="1018">
      <c r="A1018" s="69"/>
    </row>
    <row r="1019">
      <c r="A1019" s="69"/>
    </row>
    <row r="1020">
      <c r="A1020" s="69"/>
    </row>
    <row r="1021">
      <c r="A1021" s="69"/>
    </row>
    <row r="1022">
      <c r="A1022" s="69"/>
    </row>
    <row r="1023">
      <c r="A1023" s="69"/>
    </row>
    <row r="1024">
      <c r="A1024" s="69"/>
    </row>
    <row r="1025">
      <c r="A1025" s="69"/>
    </row>
    <row r="1026">
      <c r="A1026" s="69"/>
    </row>
    <row r="1027">
      <c r="A1027" s="69"/>
    </row>
    <row r="1028">
      <c r="A1028" s="69"/>
    </row>
    <row r="1029">
      <c r="A1029" s="69"/>
    </row>
    <row r="1030">
      <c r="A1030" s="69"/>
    </row>
    <row r="1031">
      <c r="A1031" s="69"/>
    </row>
    <row r="1032">
      <c r="A1032" s="69"/>
    </row>
    <row r="1033">
      <c r="A1033" s="69"/>
    </row>
    <row r="1034">
      <c r="A1034" s="69"/>
    </row>
    <row r="1035">
      <c r="A1035" s="69"/>
    </row>
    <row r="1036">
      <c r="A1036" s="69"/>
    </row>
    <row r="1037">
      <c r="A1037" s="69"/>
    </row>
    <row r="1038">
      <c r="A1038" s="69"/>
    </row>
    <row r="1039">
      <c r="A1039" s="69"/>
    </row>
    <row r="1040">
      <c r="A1040" s="69"/>
    </row>
    <row r="1041">
      <c r="A1041" s="69"/>
    </row>
    <row r="1042">
      <c r="A1042" s="69"/>
    </row>
    <row r="1043">
      <c r="A1043" s="69"/>
    </row>
    <row r="1044">
      <c r="A1044" s="69"/>
    </row>
    <row r="1045">
      <c r="A1045" s="69"/>
    </row>
    <row r="1046">
      <c r="A1046" s="69"/>
    </row>
    <row r="1047">
      <c r="A1047" s="69"/>
    </row>
    <row r="1048">
      <c r="A1048" s="69"/>
    </row>
    <row r="1049">
      <c r="A1049" s="69"/>
    </row>
    <row r="1050">
      <c r="A1050" s="69"/>
    </row>
    <row r="1051">
      <c r="A1051" s="69"/>
    </row>
    <row r="1052">
      <c r="A1052" s="69"/>
    </row>
    <row r="1053">
      <c r="A1053" s="69"/>
    </row>
    <row r="1054">
      <c r="A1054" s="69"/>
    </row>
    <row r="1055">
      <c r="A1055" s="69"/>
    </row>
    <row r="1056">
      <c r="A1056" s="69"/>
    </row>
    <row r="1057">
      <c r="A1057" s="69"/>
    </row>
    <row r="1058">
      <c r="A1058" s="69"/>
    </row>
    <row r="1059">
      <c r="A1059" s="69"/>
    </row>
    <row r="1060">
      <c r="A1060" s="69"/>
    </row>
    <row r="1061">
      <c r="A1061" s="69"/>
    </row>
    <row r="1062">
      <c r="A1062" s="69"/>
    </row>
    <row r="1063">
      <c r="A1063" s="69"/>
    </row>
    <row r="1064">
      <c r="A1064" s="69"/>
    </row>
    <row r="1065">
      <c r="A1065" s="69"/>
    </row>
    <row r="1066">
      <c r="A1066" s="69"/>
    </row>
    <row r="1067">
      <c r="A1067" s="69"/>
    </row>
    <row r="1068">
      <c r="A1068" s="69"/>
    </row>
    <row r="1069">
      <c r="A1069" s="69"/>
    </row>
    <row r="1070">
      <c r="A1070" s="69"/>
    </row>
    <row r="1071">
      <c r="A1071" s="69"/>
    </row>
    <row r="1072">
      <c r="A1072" s="69"/>
    </row>
    <row r="1073">
      <c r="A1073" s="69"/>
    </row>
    <row r="1074">
      <c r="A1074" s="69"/>
    </row>
    <row r="1075">
      <c r="A1075" s="69"/>
    </row>
    <row r="1076">
      <c r="A1076" s="69"/>
    </row>
    <row r="1077">
      <c r="A1077" s="69"/>
    </row>
    <row r="1078">
      <c r="A1078" s="69"/>
    </row>
    <row r="1079">
      <c r="A1079" s="69"/>
    </row>
    <row r="1080">
      <c r="A1080" s="69"/>
    </row>
    <row r="1081">
      <c r="A1081" s="69"/>
    </row>
    <row r="1082">
      <c r="A1082" s="69"/>
    </row>
    <row r="1083">
      <c r="A1083" s="69"/>
    </row>
    <row r="1084">
      <c r="A1084" s="69"/>
    </row>
    <row r="1085">
      <c r="A1085" s="69"/>
    </row>
    <row r="1086">
      <c r="A1086" s="69"/>
    </row>
    <row r="1087">
      <c r="A1087" s="69"/>
    </row>
    <row r="1088">
      <c r="A1088" s="69"/>
    </row>
    <row r="1089">
      <c r="A1089" s="69"/>
    </row>
    <row r="1090">
      <c r="A1090" s="69"/>
    </row>
    <row r="1091">
      <c r="A1091" s="69"/>
    </row>
    <row r="1092">
      <c r="A1092" s="69"/>
    </row>
    <row r="1093">
      <c r="A1093" s="69"/>
    </row>
    <row r="1094">
      <c r="A1094" s="69"/>
    </row>
    <row r="1095">
      <c r="A1095" s="69"/>
    </row>
    <row r="1096">
      <c r="A1096" s="69"/>
    </row>
    <row r="1097">
      <c r="A1097" s="69"/>
    </row>
    <row r="1098">
      <c r="A1098" s="69"/>
    </row>
  </sheetData>
  <autoFilter ref="$A$1:$AF$196">
    <sortState ref="A1:AF196">
      <sortCondition ref="B1:B196"/>
    </sortState>
  </autoFilter>
  <customSheetViews>
    <customSheetView guid="{34FD79FC-838B-48EC-848A-2BEC59C7DA00}" filter="1" showAutoFilter="1">
      <autoFilter ref="$A$1:$AF$79"/>
    </customSheetView>
  </customSheetViews>
  <drawing r:id="rId4"/>
  <legacyDrawing r:id="rId5"/>
</worksheet>
</file>