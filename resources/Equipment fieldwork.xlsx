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geodata\Ice\FIELDWORK\"/>
    </mc:Choice>
  </mc:AlternateContent>
  <xr:revisionPtr revIDLastSave="0" documentId="13_ncr:1_{9F91FF60-95CC-484A-BABC-3903A0222444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2025" sheetId="17" r:id="rId1"/>
    <sheet name="2024" sheetId="1" r:id="rId2"/>
    <sheet name="2023" sheetId="2" r:id="rId3"/>
    <sheet name="2022" sheetId="3" r:id="rId4"/>
    <sheet name="2021" sheetId="4" r:id="rId5"/>
    <sheet name="2020" sheetId="5" r:id="rId6"/>
    <sheet name="2019" sheetId="6" r:id="rId7"/>
    <sheet name="2018" sheetId="7" r:id="rId8"/>
    <sheet name="2017" sheetId="8" r:id="rId9"/>
    <sheet name="2016" sheetId="9" r:id="rId10"/>
    <sheet name="2015 (2)" sheetId="10" r:id="rId11"/>
    <sheet name="2015" sheetId="11" r:id="rId12"/>
    <sheet name="2014" sheetId="12" r:id="rId13"/>
    <sheet name="2013" sheetId="13" r:id="rId14"/>
    <sheet name="2012" sheetId="14" r:id="rId15"/>
    <sheet name="kit 2012" sheetId="15" r:id="rId16"/>
    <sheet name="2011" sheetId="16" r:id="rId17"/>
  </sheets>
  <definedNames>
    <definedName name="_xlnm.Print_Titles" localSheetId="12">'2014'!$A:$A</definedName>
    <definedName name="_xlnm.Print_Titles" localSheetId="11">'2015'!$A:$A</definedName>
    <definedName name="_xlnm.Print_Titles" localSheetId="10">'2015 (2)'!$A:$A</definedName>
    <definedName name="_xlnm.Print_Titles" localSheetId="9">'2016'!$A:$A</definedName>
    <definedName name="_xlnm.Print_Titles" localSheetId="8">'2017'!$A:$A</definedName>
    <definedName name="_xlnm.Print_Titles" localSheetId="7">'2018'!$A:$A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1" i="12" l="1"/>
  <c r="T31" i="12"/>
  <c r="P31" i="12"/>
  <c r="M31" i="12"/>
  <c r="J31" i="12"/>
  <c r="F31" i="12"/>
  <c r="D31" i="12"/>
  <c r="V31" i="11"/>
  <c r="T31" i="11"/>
  <c r="P31" i="11"/>
  <c r="M31" i="11"/>
  <c r="J31" i="11"/>
  <c r="F31" i="11"/>
  <c r="D31" i="11"/>
  <c r="V31" i="10"/>
  <c r="T31" i="10"/>
  <c r="P31" i="10"/>
  <c r="M31" i="10"/>
  <c r="J31" i="10"/>
  <c r="F31" i="10"/>
  <c r="D31" i="10"/>
  <c r="U30" i="9"/>
  <c r="S30" i="9"/>
  <c r="O30" i="9"/>
  <c r="L30" i="9"/>
  <c r="I30" i="9"/>
  <c r="F30" i="9"/>
  <c r="D30" i="9"/>
  <c r="B30" i="9"/>
  <c r="V30" i="8"/>
  <c r="T30" i="8"/>
  <c r="P30" i="8"/>
  <c r="M30" i="8"/>
  <c r="J30" i="8"/>
  <c r="G30" i="8"/>
  <c r="E30" i="8"/>
  <c r="D30" i="8"/>
  <c r="B30" i="8"/>
  <c r="V31" i="7"/>
  <c r="T31" i="7"/>
  <c r="P31" i="7"/>
  <c r="M31" i="7"/>
  <c r="J31" i="7"/>
  <c r="G31" i="7"/>
  <c r="E31" i="7"/>
  <c r="D31" i="7"/>
  <c r="B31" i="7"/>
  <c r="V31" i="6"/>
  <c r="T31" i="6"/>
  <c r="P31" i="6"/>
  <c r="M31" i="6"/>
  <c r="J31" i="6"/>
  <c r="G31" i="6"/>
  <c r="E31" i="6"/>
  <c r="D31" i="6"/>
  <c r="B31" i="6"/>
  <c r="V31" i="5"/>
  <c r="T31" i="5"/>
  <c r="P31" i="5"/>
  <c r="M31" i="5"/>
  <c r="J31" i="5"/>
  <c r="G31" i="5"/>
  <c r="E31" i="5"/>
  <c r="D31" i="5"/>
  <c r="B31" i="5"/>
  <c r="W32" i="4"/>
  <c r="U32" i="4"/>
  <c r="Q32" i="4"/>
  <c r="N32" i="4"/>
  <c r="K32" i="4"/>
  <c r="G32" i="4"/>
  <c r="E32" i="4"/>
  <c r="D32" i="4"/>
  <c r="B32" i="4"/>
  <c r="AB34" i="3"/>
  <c r="Z34" i="3"/>
  <c r="V34" i="3"/>
  <c r="S34" i="3"/>
  <c r="P34" i="3"/>
  <c r="I34" i="3"/>
  <c r="C34" i="3"/>
  <c r="AB34" i="2"/>
  <c r="Z34" i="2"/>
  <c r="V34" i="2"/>
  <c r="P34" i="2"/>
  <c r="I34" i="2"/>
  <c r="C34" i="2"/>
</calcChain>
</file>

<file path=xl/sharedStrings.xml><?xml version="1.0" encoding="utf-8"?>
<sst xmlns="http://schemas.openxmlformats.org/spreadsheetml/2006/main" count="3077" uniqueCount="496">
  <si>
    <t>KPC_L</t>
  </si>
  <si>
    <t>KPC_U</t>
  </si>
  <si>
    <t>SCO_L</t>
  </si>
  <si>
    <t>SCO_U</t>
  </si>
  <si>
    <t>MIT</t>
  </si>
  <si>
    <t>TAS_L</t>
  </si>
  <si>
    <t>TAS_A</t>
  </si>
  <si>
    <t>QAS_L</t>
  </si>
  <si>
    <t>QAS_M</t>
  </si>
  <si>
    <t>QAS_U</t>
  </si>
  <si>
    <t>NUK_L</t>
  </si>
  <si>
    <t>NUK_U</t>
  </si>
  <si>
    <t>NUK_B</t>
  </si>
  <si>
    <t>NUK_K</t>
  </si>
  <si>
    <t>KAN_B</t>
  </si>
  <si>
    <t>KAN_L</t>
  </si>
  <si>
    <t>KAN_M</t>
  </si>
  <si>
    <t>WEG_B</t>
  </si>
  <si>
    <t>WEG_L</t>
  </si>
  <si>
    <t>UPE_L</t>
  </si>
  <si>
    <t>UPE_U</t>
  </si>
  <si>
    <t>THU_L</t>
  </si>
  <si>
    <t>THU_L2</t>
  </si>
  <si>
    <t>THU_U2</t>
  </si>
  <si>
    <t>who's responsible</t>
  </si>
  <si>
    <t>date sensor check</t>
  </si>
  <si>
    <t>30/1-23</t>
  </si>
  <si>
    <t>27/1-23</t>
  </si>
  <si>
    <t>11/9-23</t>
  </si>
  <si>
    <t>30/12-23</t>
  </si>
  <si>
    <t>15/11-23</t>
  </si>
  <si>
    <t>last TX</t>
  </si>
  <si>
    <t>8/1-23</t>
  </si>
  <si>
    <t>20/1-23</t>
  </si>
  <si>
    <t>AWS version</t>
  </si>
  <si>
    <t>v3</t>
  </si>
  <si>
    <t>v2</t>
  </si>
  <si>
    <t>?</t>
  </si>
  <si>
    <t>logger</t>
  </si>
  <si>
    <t>logger battery &gt; 2.9 V?</t>
  </si>
  <si>
    <t>operating range 2.7 - 3.6 V</t>
  </si>
  <si>
    <t>barometer</t>
  </si>
  <si>
    <t>replace when breaks</t>
  </si>
  <si>
    <t>PT100</t>
  </si>
  <si>
    <t>HygroClip</t>
  </si>
  <si>
    <t>replace every visit</t>
  </si>
  <si>
    <t>Rotronics assembly</t>
  </si>
  <si>
    <t>replace every 5 years</t>
  </si>
  <si>
    <t>prec/T/H/P sensor (Lufft)</t>
  </si>
  <si>
    <t>Replace every 2 years</t>
  </si>
  <si>
    <t>Young anemometer</t>
  </si>
  <si>
    <t>replace every 3 years</t>
  </si>
  <si>
    <t>CNR radiometer</t>
  </si>
  <si>
    <t>inclinometer/compass</t>
  </si>
  <si>
    <t>SR50 on AWS</t>
  </si>
  <si>
    <t>replace every visit, or just membrane</t>
  </si>
  <si>
    <t>SR50 on stakes</t>
  </si>
  <si>
    <t>pressure tr. assembly</t>
  </si>
  <si>
    <t>14.5 m</t>
  </si>
  <si>
    <t>7.4 m</t>
  </si>
  <si>
    <t>8.4m</t>
  </si>
  <si>
    <t>13.1 m</t>
  </si>
  <si>
    <t>13.5 m</t>
  </si>
  <si>
    <t>12m</t>
  </si>
  <si>
    <t>7 m</t>
  </si>
  <si>
    <t>16.4 m</t>
  </si>
  <si>
    <t>13.9 m</t>
  </si>
  <si>
    <t>replace when expected to melt out before next visit</t>
  </si>
  <si>
    <t>ablation_bend (ablobender)</t>
  </si>
  <si>
    <t>thermistor string</t>
  </si>
  <si>
    <t>replace every visit if melted out a few m</t>
  </si>
  <si>
    <t>GPS antenna</t>
  </si>
  <si>
    <t>modem (+DC/DC conv)</t>
  </si>
  <si>
    <t>Interface boxes</t>
  </si>
  <si>
    <t>Iridium antenna</t>
  </si>
  <si>
    <t>battery box / batteries</t>
  </si>
  <si>
    <t>replace every 5 years or when discharges too fast</t>
  </si>
  <si>
    <t>battery box (SnowFox)</t>
  </si>
  <si>
    <t>solar panel</t>
  </si>
  <si>
    <t>SR50 cable + extension</t>
  </si>
  <si>
    <t>wire set</t>
  </si>
  <si>
    <t>New tripod + boom</t>
  </si>
  <si>
    <t>stakes needed (carbon fibre)</t>
  </si>
  <si>
    <t>stakes melted out</t>
  </si>
  <si>
    <t>stakes locally in stock</t>
  </si>
  <si>
    <t>stakes to ship</t>
  </si>
  <si>
    <t>connectors etc</t>
  </si>
  <si>
    <t>Only boom</t>
  </si>
  <si>
    <t>yes</t>
  </si>
  <si>
    <t>Going</t>
  </si>
  <si>
    <t>no</t>
  </si>
  <si>
    <t>functional / not installed: do not buy or take from pool</t>
  </si>
  <si>
    <t>New st.</t>
  </si>
  <si>
    <t>not ok but not going: do not buy or take from pool</t>
  </si>
  <si>
    <t>kaput / strange values: buy or take from pool</t>
  </si>
  <si>
    <t>routine replacement: buy or take from pool (could be SR50 membrane only)</t>
  </si>
  <si>
    <t>unknown: do not buy or take from pool</t>
  </si>
  <si>
    <t>unknown: buy or take from pool</t>
  </si>
  <si>
    <t>Decommission</t>
  </si>
  <si>
    <t>EGP</t>
  </si>
  <si>
    <t>QAS_B</t>
  </si>
  <si>
    <t>KAN_U</t>
  </si>
  <si>
    <t>THU_U</t>
  </si>
  <si>
    <t>1/12-22</t>
  </si>
  <si>
    <t>16/10-22</t>
  </si>
  <si>
    <t>12 m</t>
  </si>
  <si>
    <t>0 m</t>
  </si>
  <si>
    <t>6.5 m</t>
  </si>
  <si>
    <t>13.8 m</t>
  </si>
  <si>
    <t>16+</t>
  </si>
  <si>
    <t>12.6 m</t>
  </si>
  <si>
    <t>9.3 m</t>
  </si>
  <si>
    <t>15.7 m</t>
  </si>
  <si>
    <t>mast setup</t>
  </si>
  <si>
    <t>x</t>
  </si>
  <si>
    <t>6 apr</t>
  </si>
  <si>
    <t>7 apr</t>
  </si>
  <si>
    <t>4 apr</t>
  </si>
  <si>
    <t>2 Mar</t>
  </si>
  <si>
    <t>26 mar</t>
  </si>
  <si>
    <t>7/2-2021</t>
  </si>
  <si>
    <t>11.3 m</t>
  </si>
  <si>
    <t>10.1 m</t>
  </si>
  <si>
    <t>14.7 m</t>
  </si>
  <si>
    <t>4.3 m</t>
  </si>
  <si>
    <t>15 m</t>
  </si>
  <si>
    <t>15.4 m</t>
  </si>
  <si>
    <t>10.6 m</t>
  </si>
  <si>
    <t>ablation_bender (ablobender)</t>
  </si>
  <si>
    <t>New tripod</t>
  </si>
  <si>
    <t>needed for other projects</t>
  </si>
  <si>
    <t>CEN</t>
  </si>
  <si>
    <t>1 jul</t>
  </si>
  <si>
    <t>recent</t>
  </si>
  <si>
    <t>12/6-2021</t>
  </si>
  <si>
    <t>2013?</t>
  </si>
  <si>
    <t>2009?</t>
  </si>
  <si>
    <t>On boom</t>
  </si>
  <si>
    <t>13.2 m</t>
  </si>
  <si>
    <t>5.8 m</t>
  </si>
  <si>
    <t>11.5 m</t>
  </si>
  <si>
    <t>5.4 m</t>
  </si>
  <si>
    <t>7.5 m</t>
  </si>
  <si>
    <t>10.4 m</t>
  </si>
  <si>
    <t>1.8 m</t>
  </si>
  <si>
    <t>inclinometer</t>
  </si>
  <si>
    <t>precip sensor</t>
  </si>
  <si>
    <t>cam + gps eq</t>
  </si>
  <si>
    <t>Allan</t>
  </si>
  <si>
    <t>10/01</t>
  </si>
  <si>
    <t>&gt; 3.3 V</t>
  </si>
  <si>
    <t>2008 ?</t>
  </si>
  <si>
    <t>2011 ?</t>
  </si>
  <si>
    <t>16 m</t>
  </si>
  <si>
    <t>8.5 m</t>
  </si>
  <si>
    <t>8m</t>
  </si>
  <si>
    <t>9m</t>
  </si>
  <si>
    <t>10m</t>
  </si>
  <si>
    <t>6m</t>
  </si>
  <si>
    <t>9 m</t>
  </si>
  <si>
    <t>8 m</t>
  </si>
  <si>
    <t>11 m</t>
  </si>
  <si>
    <t>6 m</t>
  </si>
  <si>
    <t>2 m</t>
  </si>
  <si>
    <t>9.5 m</t>
  </si>
  <si>
    <t>2010 ??</t>
  </si>
  <si>
    <t>YES</t>
  </si>
  <si>
    <t>stakes needed</t>
  </si>
  <si>
    <t>Jason</t>
  </si>
  <si>
    <t>Dirk</t>
  </si>
  <si>
    <t>Robert</t>
  </si>
  <si>
    <t>Anne</t>
  </si>
  <si>
    <t>27/1</t>
  </si>
  <si>
    <t>15/5</t>
  </si>
  <si>
    <t>11/5</t>
  </si>
  <si>
    <t>12/5</t>
  </si>
  <si>
    <t>14/3</t>
  </si>
  <si>
    <t>29/3</t>
  </si>
  <si>
    <t>&lt;2011?</t>
  </si>
  <si>
    <t>2009 ?</t>
  </si>
  <si>
    <t>7m</t>
  </si>
  <si>
    <t>2m</t>
  </si>
  <si>
    <t>11m</t>
  </si>
  <si>
    <t>9m, odd after summer visit</t>
  </si>
  <si>
    <t>17m</t>
  </si>
  <si>
    <t>10.5 m</t>
  </si>
  <si>
    <t>entire AWS</t>
  </si>
  <si>
    <t>spare legs and boom</t>
  </si>
  <si>
    <t>RSF</t>
  </si>
  <si>
    <t>no visit</t>
  </si>
  <si>
    <t>APA</t>
  </si>
  <si>
    <t>JEB</t>
  </si>
  <si>
    <t>Asiaq</t>
  </si>
  <si>
    <t>DVA</t>
  </si>
  <si>
    <t>2015</t>
  </si>
  <si>
    <t>9/5</t>
  </si>
  <si>
    <t>10/5</t>
  </si>
  <si>
    <t>24/6</t>
  </si>
  <si>
    <t>12/4</t>
  </si>
  <si>
    <t>16/3</t>
  </si>
  <si>
    <t>recent (old AWS) and 2015 (new AWS)</t>
  </si>
  <si>
    <t>&gt; 3.4 V</t>
  </si>
  <si>
    <t>2008/2012 ?</t>
  </si>
  <si>
    <t>fan</t>
  </si>
  <si>
    <t>2012 0.7m</t>
  </si>
  <si>
    <t>1.2m</t>
  </si>
  <si>
    <t>1.0m</t>
  </si>
  <si>
    <t>0.4m 2010</t>
  </si>
  <si>
    <t>2.0m</t>
  </si>
  <si>
    <t>0.5m</t>
  </si>
  <si>
    <t>1.6m</t>
  </si>
  <si>
    <t>fallen</t>
  </si>
  <si>
    <t>1.6m 2014</t>
  </si>
  <si>
    <t>11m 2012</t>
  </si>
  <si>
    <t xml:space="preserve">11m 2012 </t>
  </si>
  <si>
    <t>11m 2014</t>
  </si>
  <si>
    <t xml:space="preserve">5m 2012 </t>
  </si>
  <si>
    <t>2013 13m</t>
  </si>
  <si>
    <t>2014 7m</t>
  </si>
  <si>
    <t>12m 2012</t>
  </si>
  <si>
    <t>7.5m</t>
  </si>
  <si>
    <t>11m 2015</t>
  </si>
  <si>
    <t>6m 2012</t>
  </si>
  <si>
    <t>18m</t>
  </si>
  <si>
    <t>13m</t>
  </si>
  <si>
    <t>2010 Not redrilled</t>
  </si>
  <si>
    <t>4 m out 2014</t>
  </si>
  <si>
    <t>OK 2015</t>
  </si>
  <si>
    <t>or reuse?</t>
  </si>
  <si>
    <t>bring</t>
  </si>
  <si>
    <t>old</t>
  </si>
  <si>
    <t>2015 ?</t>
  </si>
  <si>
    <t>dead</t>
  </si>
  <si>
    <t>SPA parts.</t>
  </si>
  <si>
    <t>SPA parts. GPS/cam</t>
  </si>
  <si>
    <t>GPS/camera parts</t>
  </si>
  <si>
    <t>precip gauge, river discharge</t>
  </si>
  <si>
    <t>GPS/cam?</t>
  </si>
  <si>
    <t>new AWS</t>
  </si>
  <si>
    <t>new logger enclosure</t>
  </si>
  <si>
    <t>new tripod excl boom clamp</t>
  </si>
  <si>
    <t>extra CF card</t>
  </si>
  <si>
    <t>new logger enclosure and most sensors</t>
  </si>
  <si>
    <t>TAS_U</t>
  </si>
  <si>
    <t>QAS_A/M</t>
  </si>
  <si>
    <t>MCIT/MOLA</t>
  </si>
  <si>
    <t>DVA/MAV</t>
  </si>
  <si>
    <t>MAV</t>
  </si>
  <si>
    <t>16/6</t>
  </si>
  <si>
    <t>18/5</t>
  </si>
  <si>
    <t>15/6</t>
  </si>
  <si>
    <t>April</t>
  </si>
  <si>
    <t>11/2</t>
  </si>
  <si>
    <t>17/2</t>
  </si>
  <si>
    <t>last visit</t>
  </si>
  <si>
    <t>22/3</t>
  </si>
  <si>
    <t>2012 quitevaried data!</t>
  </si>
  <si>
    <t>? fan = 0</t>
  </si>
  <si>
    <t>2008 high current draw!</t>
  </si>
  <si>
    <t>2013 still covered ?</t>
  </si>
  <si>
    <t>2013 funny wind direction winter pattern</t>
  </si>
  <si>
    <t>2012 ?? Covered ?</t>
  </si>
  <si>
    <t>2012 probably still covered!</t>
  </si>
  <si>
    <t>2013 only zero values in shortwave</t>
  </si>
  <si>
    <t>2011 only zero values in shortwave</t>
  </si>
  <si>
    <t>2013 ??</t>
  </si>
  <si>
    <t>2014? 15,4</t>
  </si>
  <si>
    <t>2012 ?7</t>
  </si>
  <si>
    <t>2012 ? 12,2</t>
  </si>
  <si>
    <t>2014 ?  5</t>
  </si>
  <si>
    <t>2012 ? 5,3</t>
  </si>
  <si>
    <t xml:space="preserve">2013 13.3 </t>
  </si>
  <si>
    <t>2011 11.9</t>
  </si>
  <si>
    <t>2012 12</t>
  </si>
  <si>
    <t>2012 8</t>
  </si>
  <si>
    <t>2013 11,5</t>
  </si>
  <si>
    <t>2013 10,5</t>
  </si>
  <si>
    <t>2015 20.5</t>
  </si>
  <si>
    <t>2012 3.2</t>
  </si>
  <si>
    <t>2013 with leap between 18-20m 20,4</t>
  </si>
  <si>
    <t>2009 8,7</t>
  </si>
  <si>
    <t>replace when almost melted out</t>
  </si>
  <si>
    <t>2013 crazy values!</t>
  </si>
  <si>
    <t>2013 large tilt</t>
  </si>
  <si>
    <t>2012  ! Very tilted!!</t>
  </si>
  <si>
    <t>2013 ?</t>
  </si>
  <si>
    <t>2012 Maybe also excess tilted!</t>
  </si>
  <si>
    <t>2013 !! Tilted5-7degrees</t>
  </si>
  <si>
    <t>2013 maybe ok but one outlier in &lt;EW dir</t>
  </si>
  <si>
    <t>low! 2013</t>
  </si>
  <si>
    <t>check later</t>
  </si>
  <si>
    <t>covered!</t>
  </si>
  <si>
    <t>V&lt;11.5</t>
  </si>
  <si>
    <t>SR50 cable + extention</t>
  </si>
  <si>
    <t>special</t>
  </si>
  <si>
    <t>SPA, precip gauge, river discharge</t>
  </si>
  <si>
    <t>No winter TX - change modem / antenna if old / covered ? - ask Morten</t>
  </si>
  <si>
    <t>New logger enclosure, big outliers like UPE_L -  very tilted!</t>
  </si>
  <si>
    <t>This station will be discontinued after August 2015, so no new instruments here</t>
  </si>
  <si>
    <t>Still covered 2-06 ?</t>
  </si>
  <si>
    <t>covered since Feb</t>
  </si>
  <si>
    <t>covered since Feb. Whole new station (QAS_M)</t>
  </si>
  <si>
    <t>New logger enclosure if available</t>
  </si>
  <si>
    <t>New logger enclosure + Iridium antenna</t>
  </si>
  <si>
    <t>Oil &amp; empty water bag for contents of bucket</t>
  </si>
  <si>
    <t>Sporadic datatransmission during winter</t>
  </si>
  <si>
    <t>whole new station minus pressure transducer</t>
  </si>
  <si>
    <t>Something odd with many values!</t>
  </si>
  <si>
    <t>3/2</t>
  </si>
  <si>
    <t>fan=0</t>
  </si>
  <si>
    <t>large tilt</t>
  </si>
  <si>
    <t>low!</t>
  </si>
  <si>
    <t>No winter TX - change modem / antenna if old</t>
  </si>
  <si>
    <t>New logger enclosure</t>
  </si>
  <si>
    <t>QAS_A</t>
  </si>
  <si>
    <t>NUK_N</t>
  </si>
  <si>
    <t>MCIT</t>
  </si>
  <si>
    <t>MOLA</t>
  </si>
  <si>
    <t>SIBA</t>
  </si>
  <si>
    <t>23/2</t>
  </si>
  <si>
    <t>6/5</t>
  </si>
  <si>
    <t>16/7</t>
  </si>
  <si>
    <t>24/1</t>
  </si>
  <si>
    <t>23/1</t>
  </si>
  <si>
    <t>11/12</t>
  </si>
  <si>
    <t>14/11</t>
  </si>
  <si>
    <t>interface box</t>
  </si>
  <si>
    <t>2008 Will melt out soon</t>
  </si>
  <si>
    <t>no instr</t>
  </si>
  <si>
    <t>replace when breaks or drains too much</t>
  </si>
  <si>
    <t>no charging</t>
  </si>
  <si>
    <t>SPA parts. No GPS/cam?</t>
  </si>
  <si>
    <t>SPA parts. GPS/cam?</t>
  </si>
  <si>
    <t>SPA / precip gauge parts, 2 used batteries for Tstring setup</t>
  </si>
  <si>
    <t>Large tilt - fallen?</t>
  </si>
  <si>
    <t>Take down? Large tilt - fallen?</t>
  </si>
  <si>
    <t>Low power mode</t>
  </si>
  <si>
    <t>Not recharging, bring new logger box</t>
  </si>
  <si>
    <t>whole new station, minus tripod, plus boom</t>
  </si>
  <si>
    <t>empty boxes for transport to other glacier</t>
  </si>
  <si>
    <t>new SR50 on stakes</t>
  </si>
  <si>
    <t>whole new station</t>
  </si>
  <si>
    <t>who's in charge</t>
  </si>
  <si>
    <t>17/4</t>
  </si>
  <si>
    <t>21/5</t>
  </si>
  <si>
    <t>not yet installed</t>
  </si>
  <si>
    <t>July</t>
  </si>
  <si>
    <t>7/1</t>
  </si>
  <si>
    <t>24/12</t>
  </si>
  <si>
    <t>replace internal battery when necessary</t>
  </si>
  <si>
    <t>2010 Fan dead?</t>
  </si>
  <si>
    <t>2012 Fan=dead?</t>
  </si>
  <si>
    <t>2009 Fan gives strange values in Dirk's processed data</t>
  </si>
  <si>
    <t>2012 Mounted wrong way around</t>
  </si>
  <si>
    <t>2012 too close to surface for good measurement</t>
  </si>
  <si>
    <t>2012 Strange readings</t>
  </si>
  <si>
    <t>? 2010</t>
  </si>
  <si>
    <t>no inst</t>
  </si>
  <si>
    <t>2008, no instr?</t>
  </si>
  <si>
    <t>2009: still there?</t>
  </si>
  <si>
    <t>was low but recovered</t>
  </si>
  <si>
    <t>4 batteries for SPAs</t>
  </si>
  <si>
    <t>a lot</t>
  </si>
  <si>
    <t>ask Signe</t>
  </si>
  <si>
    <t>ask Andreas</t>
  </si>
  <si>
    <t>ask Robert</t>
  </si>
  <si>
    <t>IVEL, REFREEZE spare parts</t>
  </si>
  <si>
    <t>IVEL spare parts</t>
  </si>
  <si>
    <t>fluids for precip bucket KAN_B</t>
  </si>
  <si>
    <t>Station tilting more and more - probably broken inclinometer. AWS covered by snow.</t>
  </si>
  <si>
    <t>Take down?</t>
  </si>
  <si>
    <t>Name TAS_U2?</t>
  </si>
  <si>
    <t>Stake assembly came apart ~5 April 2013?</t>
  </si>
  <si>
    <t>Fallen. Whole new station! Minus modem and battery box.</t>
  </si>
  <si>
    <t>Whole new station! Minus modem.</t>
  </si>
  <si>
    <t>NUK_N is not transmitting. Will take down if can't be repaired.</t>
  </si>
  <si>
    <t>Whole new station! Minus modem?</t>
  </si>
  <si>
    <t>visit by Marek: modem, interface box 2(?), CF card, ...?</t>
  </si>
  <si>
    <t>visit by Marek: CF card, batteries, ...?</t>
  </si>
  <si>
    <t>MLA</t>
  </si>
  <si>
    <t>SN+MLA</t>
  </si>
  <si>
    <t>DVA+MC</t>
  </si>
  <si>
    <t>SN</t>
  </si>
  <si>
    <t>RSF+SN</t>
  </si>
  <si>
    <t>MC+MLA</t>
  </si>
  <si>
    <t>29-2</t>
  </si>
  <si>
    <t>6-6</t>
  </si>
  <si>
    <t>May</t>
  </si>
  <si>
    <t>last few days</t>
  </si>
  <si>
    <t>2011</t>
  </si>
  <si>
    <t>2010</t>
  </si>
  <si>
    <t>melts out in June</t>
  </si>
  <si>
    <t>leak</t>
  </si>
  <si>
    <t>strange!</t>
  </si>
  <si>
    <t>stuck since Dec 2010</t>
  </si>
  <si>
    <t>max 3</t>
  </si>
  <si>
    <t>max 9</t>
  </si>
  <si>
    <t>max 6</t>
  </si>
  <si>
    <t>new boom</t>
  </si>
  <si>
    <t>covered by snow since 14-2!</t>
  </si>
  <si>
    <t>move?</t>
  </si>
  <si>
    <t>all in SFJ</t>
  </si>
  <si>
    <t>interface 2</t>
  </si>
  <si>
    <t>functional / not installed</t>
  </si>
  <si>
    <t>interface 1 (mosfet)</t>
  </si>
  <si>
    <t>large tilt since then</t>
  </si>
  <si>
    <t>bring spare GPS antenna</t>
  </si>
  <si>
    <t>kaput / strange values</t>
  </si>
  <si>
    <t>any spares we choose to carry</t>
  </si>
  <si>
    <t>unknown</t>
  </si>
  <si>
    <t>routine replacement</t>
  </si>
  <si>
    <t>KPC</t>
  </si>
  <si>
    <t>ZAK</t>
  </si>
  <si>
    <t>SCO</t>
  </si>
  <si>
    <t>TAS</t>
  </si>
  <si>
    <t>QAS</t>
  </si>
  <si>
    <t>NUK</t>
  </si>
  <si>
    <t>KAN</t>
  </si>
  <si>
    <t>UPE</t>
  </si>
  <si>
    <t>THU</t>
  </si>
  <si>
    <t>AWS checklists</t>
  </si>
  <si>
    <t>chairs</t>
  </si>
  <si>
    <t>CF reader</t>
  </si>
  <si>
    <t>field laptop + logger cable + charger + spare battery</t>
  </si>
  <si>
    <t>GEUS field instructions</t>
  </si>
  <si>
    <t>GPS handheld</t>
  </si>
  <si>
    <t>gun + ammo</t>
  </si>
  <si>
    <t>Hojke (?) steam drill</t>
  </si>
  <si>
    <t>kitchen box</t>
  </si>
  <si>
    <t>Kovacs drill kit</t>
  </si>
  <si>
    <t>personal locator beacon (PLB)</t>
  </si>
  <si>
    <t>photo camera</t>
  </si>
  <si>
    <t>sat phone</t>
  </si>
  <si>
    <t>sleeping bag + 2 mattresses</t>
  </si>
  <si>
    <t>snow corer</t>
  </si>
  <si>
    <t>snow density kit</t>
  </si>
  <si>
    <t>snow radar</t>
  </si>
  <si>
    <t>steam drill - the big one</t>
  </si>
  <si>
    <t>tent - kitchen</t>
  </si>
  <si>
    <t>tent - small</t>
  </si>
  <si>
    <t>toolbox</t>
  </si>
  <si>
    <t>video camera</t>
  </si>
  <si>
    <t>personal gear</t>
  </si>
  <si>
    <t>climbing gear</t>
  </si>
  <si>
    <t>very warm clothes</t>
  </si>
  <si>
    <t>sun glasses</t>
  </si>
  <si>
    <t>date visit</t>
  </si>
  <si>
    <t>13-05-11</t>
  </si>
  <si>
    <t>16-05-11</t>
  </si>
  <si>
    <t>31-03-11</t>
  </si>
  <si>
    <t>08-05-11</t>
  </si>
  <si>
    <t>HygropClip</t>
  </si>
  <si>
    <t>Rotr. assembly</t>
  </si>
  <si>
    <t>fan sometimes stops</t>
  </si>
  <si>
    <t>1?</t>
  </si>
  <si>
    <t>no fan because V too low?</t>
  </si>
  <si>
    <t>smashed</t>
  </si>
  <si>
    <t>in ice?</t>
  </si>
  <si>
    <t>shield broken</t>
  </si>
  <si>
    <t>SR50 (membrane or sensor if red or yellow)</t>
  </si>
  <si>
    <t>stakes give 0</t>
  </si>
  <si>
    <t>NT1400 pr. tr.</t>
  </si>
  <si>
    <t>melted out - redrill?</t>
  </si>
  <si>
    <t>drill in / new?</t>
  </si>
  <si>
    <t>Tstring</t>
  </si>
  <si>
    <t>suspiciously horizontal</t>
  </si>
  <si>
    <t>large tilt unlikely</t>
  </si>
  <si>
    <t>GPS</t>
  </si>
  <si>
    <t>works in spite of 2m snow</t>
  </si>
  <si>
    <t>battery box or 4 batteries</t>
  </si>
  <si>
    <t>was drained over winter</t>
  </si>
  <si>
    <t>voltage dropping</t>
  </si>
  <si>
    <t>no recharge since 10-4, but snow covered</t>
  </si>
  <si>
    <t>no recharge 13-5</t>
  </si>
  <si>
    <t>recharges sometimes... check!</t>
  </si>
  <si>
    <t>stakes</t>
  </si>
  <si>
    <t>stakes in stock</t>
  </si>
  <si>
    <t>fallen again?</t>
  </si>
  <si>
    <t>fallen?</t>
  </si>
  <si>
    <t>mast bent</t>
  </si>
  <si>
    <t>good</t>
  </si>
  <si>
    <t>new mast</t>
  </si>
  <si>
    <t>bad</t>
  </si>
  <si>
    <t>anchor!</t>
  </si>
  <si>
    <t>08/10-24</t>
  </si>
  <si>
    <t>Updated after field 2024</t>
  </si>
  <si>
    <t>KAN_T</t>
  </si>
  <si>
    <t>RED_L</t>
  </si>
  <si>
    <t>MIT_B</t>
  </si>
  <si>
    <t>SER_B</t>
  </si>
  <si>
    <t>15/1-25</t>
  </si>
  <si>
    <t>abl_bend (ablobender)</t>
  </si>
  <si>
    <t>stakes needed (carbon)</t>
  </si>
  <si>
    <t>9/1-25</t>
  </si>
  <si>
    <t>20/10-24</t>
  </si>
  <si>
    <t>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</si>
</sst>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FFFFFF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BFBFBF"/>
      </patternFill>
    </fill>
    <fill>
      <patternFill patternType="solid">
        <fgColor rgb="FF00B0F0"/>
        <bgColor rgb="FF00CCFF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79646"/>
      </patternFill>
    </fill>
    <fill>
      <patternFill patternType="solid">
        <fgColor rgb="FF002060"/>
        <bgColor rgb="FF000080"/>
      </patternFill>
    </fill>
    <fill>
      <patternFill patternType="solid">
        <fgColor rgb="FFF79646"/>
        <bgColor rgb="FFFF808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BFBFBF"/>
      </patternFill>
    </fill>
    <fill>
      <patternFill patternType="solid">
        <fgColor rgb="FF008000"/>
        <bgColor rgb="FF008080"/>
      </patternFill>
    </fill>
    <fill>
      <patternFill patternType="solid">
        <fgColor rgb="FF00CCFF"/>
        <bgColor rgb="FF00B0F0"/>
      </patternFill>
    </fill>
    <fill>
      <patternFill patternType="solid">
        <fgColor rgb="FF92D050"/>
        <bgColor rgb="FF993300"/>
      </patternFill>
    </fill>
    <fill>
      <patternFill patternType="solid">
        <fgColor theme="2"/>
        <bgColor rgb="FFBFBFBF"/>
      </patternFill>
    </fill>
    <fill>
      <patternFill patternType="solid">
        <fgColor rgb="FF7030A0"/>
        <bgColor rgb="FFC0C0C0"/>
      </patternFill>
    </fill>
    <fill>
      <patternFill patternType="solid">
        <fgColor theme="2"/>
        <bgColor rgb="FF993300"/>
      </patternFill>
    </fill>
    <fill>
      <patternFill patternType="solid">
        <fgColor theme="2"/>
        <bgColor rgb="FF00CCFF"/>
      </patternFill>
    </fill>
    <fill>
      <patternFill patternType="solid">
        <fgColor rgb="FF92D050"/>
        <bgColor rgb="FF00CCFF"/>
      </patternFill>
    </fill>
    <fill>
      <patternFill patternType="solid">
        <fgColor theme="2" tint="-0.249977111117893"/>
        <bgColor rgb="FF993366"/>
      </patternFill>
    </fill>
    <fill>
      <patternFill patternType="solid">
        <fgColor rgb="FFFF0000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BFBFBF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00CCFF"/>
      </patternFill>
    </fill>
    <fill>
      <patternFill patternType="solid">
        <fgColor theme="0" tint="-0.14999847407452621"/>
        <bgColor rgb="FF993300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rgb="FF00B0F0"/>
        <bgColor rgb="FFBFBFBF"/>
      </patternFill>
    </fill>
    <fill>
      <patternFill patternType="solid">
        <fgColor rgb="FF00B0F0"/>
        <bgColor rgb="FFC0C0C0"/>
      </patternFill>
    </fill>
    <fill>
      <patternFill patternType="solid">
        <fgColor rgb="FF00B0F0"/>
        <bgColor rgb="FF99330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rgb="FF00CCFF"/>
      </patternFill>
    </fill>
    <fill>
      <patternFill patternType="solid">
        <fgColor rgb="FFFFFF00"/>
        <bgColor rgb="FF9933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CCFF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xfId="0"/>
    <xf numFmtId="0" fontId="1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3" borderId="6" xfId="0" applyFont="1" applyFill="1" applyBorder="1"/>
    <xf numFmtId="0" fontId="2" fillId="2" borderId="11" xfId="0" applyFont="1" applyFill="1" applyBorder="1"/>
    <xf numFmtId="0" fontId="2" fillId="3" borderId="8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1" fillId="2" borderId="4" xfId="0" applyNumberFormat="1" applyFont="1" applyFill="1" applyBorder="1"/>
    <xf numFmtId="49" fontId="1" fillId="2" borderId="22" xfId="0" applyNumberFormat="1" applyFont="1" applyFill="1" applyBorder="1"/>
    <xf numFmtId="49" fontId="1" fillId="2" borderId="23" xfId="0" applyNumberFormat="1" applyFont="1" applyFill="1" applyBorder="1"/>
    <xf numFmtId="49" fontId="1" fillId="2" borderId="24" xfId="0" applyNumberFormat="1" applyFont="1" applyFill="1" applyBorder="1"/>
    <xf numFmtId="49" fontId="1" fillId="2" borderId="14" xfId="0" applyNumberFormat="1" applyFont="1" applyFill="1" applyBorder="1"/>
    <xf numFmtId="49" fontId="1" fillId="2" borderId="25" xfId="0" applyNumberFormat="1" applyFont="1" applyFill="1" applyBorder="1"/>
    <xf numFmtId="49" fontId="1" fillId="2" borderId="26" xfId="0" applyNumberFormat="1" applyFont="1" applyFill="1" applyBorder="1"/>
    <xf numFmtId="49" fontId="1" fillId="2" borderId="27" xfId="0" applyNumberFormat="1" applyFont="1" applyFill="1" applyBorder="1"/>
    <xf numFmtId="49" fontId="1" fillId="2" borderId="28" xfId="0" applyNumberFormat="1" applyFont="1" applyFill="1" applyBorder="1"/>
    <xf numFmtId="49" fontId="1" fillId="0" borderId="0" xfId="0" applyNumberFormat="1" applyFont="1"/>
    <xf numFmtId="49" fontId="1" fillId="4" borderId="29" xfId="0" applyNumberFormat="1" applyFont="1" applyFill="1" applyBorder="1"/>
    <xf numFmtId="49" fontId="1" fillId="5" borderId="29" xfId="0" applyNumberFormat="1" applyFont="1" applyFill="1" applyBorder="1"/>
    <xf numFmtId="49" fontId="1" fillId="4" borderId="26" xfId="0" applyNumberFormat="1" applyFont="1" applyFill="1" applyBorder="1"/>
    <xf numFmtId="49" fontId="1" fillId="5" borderId="24" xfId="0" applyNumberFormat="1" applyFont="1" applyFill="1" applyBorder="1"/>
    <xf numFmtId="49" fontId="1" fillId="5" borderId="4" xfId="0" applyNumberFormat="1" applyFont="1" applyFill="1" applyBorder="1"/>
    <xf numFmtId="49" fontId="1" fillId="5" borderId="26" xfId="0" applyNumberFormat="1" applyFont="1" applyFill="1" applyBorder="1"/>
    <xf numFmtId="49" fontId="1" fillId="5" borderId="25" xfId="0" applyNumberFormat="1" applyFont="1" applyFill="1" applyBorder="1"/>
    <xf numFmtId="49" fontId="1" fillId="4" borderId="25" xfId="0" applyNumberFormat="1" applyFont="1" applyFill="1" applyBorder="1"/>
    <xf numFmtId="49" fontId="1" fillId="5" borderId="28" xfId="0" applyNumberFormat="1" applyFont="1" applyFill="1" applyBorder="1"/>
    <xf numFmtId="49" fontId="1" fillId="5" borderId="30" xfId="0" applyNumberFormat="1" applyFont="1" applyFill="1" applyBorder="1"/>
    <xf numFmtId="49" fontId="1" fillId="4" borderId="24" xfId="0" applyNumberFormat="1" applyFont="1" applyFill="1" applyBorder="1"/>
    <xf numFmtId="0" fontId="1" fillId="5" borderId="28" xfId="0" applyFont="1" applyFill="1" applyBorder="1"/>
    <xf numFmtId="49" fontId="1" fillId="5" borderId="14" xfId="0" applyNumberFormat="1" applyFont="1" applyFill="1" applyBorder="1"/>
    <xf numFmtId="0" fontId="1" fillId="5" borderId="29" xfId="0" applyFont="1" applyFill="1" applyBorder="1"/>
    <xf numFmtId="0" fontId="1" fillId="5" borderId="24" xfId="0" applyFont="1" applyFill="1" applyBorder="1"/>
    <xf numFmtId="49" fontId="1" fillId="5" borderId="16" xfId="0" applyNumberFormat="1" applyFont="1" applyFill="1" applyBorder="1"/>
    <xf numFmtId="49" fontId="1" fillId="5" borderId="18" xfId="0" applyNumberFormat="1" applyFont="1" applyFill="1" applyBorder="1"/>
    <xf numFmtId="49" fontId="1" fillId="5" borderId="17" xfId="0" applyNumberFormat="1" applyFont="1" applyFill="1" applyBorder="1"/>
    <xf numFmtId="0" fontId="1" fillId="6" borderId="29" xfId="0" applyFont="1" applyFill="1" applyBorder="1"/>
    <xf numFmtId="0" fontId="1" fillId="6" borderId="25" xfId="0" applyFont="1" applyFill="1" applyBorder="1"/>
    <xf numFmtId="0" fontId="1" fillId="6" borderId="30" xfId="0" applyFont="1" applyFill="1" applyBorder="1"/>
    <xf numFmtId="0" fontId="1" fillId="6" borderId="28" xfId="0" applyFont="1" applyFill="1" applyBorder="1"/>
    <xf numFmtId="0" fontId="1" fillId="5" borderId="30" xfId="0" applyFont="1" applyFill="1" applyBorder="1"/>
    <xf numFmtId="0" fontId="1" fillId="5" borderId="4" xfId="0" applyFont="1" applyFill="1" applyBorder="1"/>
    <xf numFmtId="0" fontId="1" fillId="5" borderId="15" xfId="0" applyFont="1" applyFill="1" applyBorder="1"/>
    <xf numFmtId="0" fontId="1" fillId="5" borderId="25" xfId="0" applyFont="1" applyFill="1" applyBorder="1"/>
    <xf numFmtId="0" fontId="1" fillId="4" borderId="24" xfId="0" applyFont="1" applyFill="1" applyBorder="1"/>
    <xf numFmtId="0" fontId="1" fillId="7" borderId="29" xfId="0" applyFont="1" applyFill="1" applyBorder="1"/>
    <xf numFmtId="0" fontId="1" fillId="7" borderId="4" xfId="0" applyFont="1" applyFill="1" applyBorder="1"/>
    <xf numFmtId="0" fontId="1" fillId="7" borderId="24" xfId="0" applyFont="1" applyFill="1" applyBorder="1"/>
    <xf numFmtId="0" fontId="1" fillId="7" borderId="28" xfId="0" applyFont="1" applyFill="1" applyBorder="1"/>
    <xf numFmtId="0" fontId="1" fillId="6" borderId="4" xfId="0" applyFont="1" applyFill="1" applyBorder="1"/>
    <xf numFmtId="0" fontId="1" fillId="6" borderId="24" xfId="0" applyFont="1" applyFill="1" applyBorder="1"/>
    <xf numFmtId="0" fontId="1" fillId="7" borderId="30" xfId="0" applyFont="1" applyFill="1" applyBorder="1"/>
    <xf numFmtId="0" fontId="1" fillId="7" borderId="25" xfId="0" applyFont="1" applyFill="1" applyBorder="1"/>
    <xf numFmtId="0" fontId="1" fillId="8" borderId="28" xfId="0" applyFont="1" applyFill="1" applyBorder="1"/>
    <xf numFmtId="0" fontId="1" fillId="4" borderId="28" xfId="0" applyFont="1" applyFill="1" applyBorder="1"/>
    <xf numFmtId="0" fontId="1" fillId="5" borderId="0" xfId="0" applyFont="1" applyFill="1"/>
    <xf numFmtId="0" fontId="0" fillId="5" borderId="4" xfId="0" applyFill="1" applyBorder="1"/>
    <xf numFmtId="0" fontId="1" fillId="4" borderId="29" xfId="0" applyFont="1" applyFill="1" applyBorder="1"/>
    <xf numFmtId="0" fontId="0" fillId="7" borderId="4" xfId="0" applyFill="1" applyBorder="1"/>
    <xf numFmtId="0" fontId="1" fillId="4" borderId="30" xfId="0" applyFont="1" applyFill="1" applyBorder="1"/>
    <xf numFmtId="0" fontId="1" fillId="4" borderId="4" xfId="0" applyFont="1" applyFill="1" applyBorder="1"/>
    <xf numFmtId="0" fontId="1" fillId="0" borderId="24" xfId="0" applyFont="1" applyBorder="1"/>
    <xf numFmtId="0" fontId="1" fillId="0" borderId="28" xfId="0" applyFont="1" applyBorder="1"/>
    <xf numFmtId="0" fontId="1" fillId="0" borderId="30" xfId="0" applyFont="1" applyBorder="1"/>
    <xf numFmtId="0" fontId="1" fillId="0" borderId="4" xfId="0" applyFont="1" applyBorder="1"/>
    <xf numFmtId="0" fontId="1" fillId="9" borderId="4" xfId="0" applyFont="1" applyFill="1" applyBorder="1"/>
    <xf numFmtId="0" fontId="1" fillId="0" borderId="29" xfId="0" applyFont="1" applyBorder="1"/>
    <xf numFmtId="0" fontId="1" fillId="9" borderId="24" xfId="0" applyFont="1" applyFill="1" applyBorder="1"/>
    <xf numFmtId="0" fontId="1" fillId="0" borderId="25" xfId="0" applyFont="1" applyBorder="1"/>
    <xf numFmtId="0" fontId="1" fillId="9" borderId="29" xfId="0" applyFont="1" applyFill="1" applyBorder="1"/>
    <xf numFmtId="0" fontId="1" fillId="9" borderId="28" xfId="0" applyFont="1" applyFill="1" applyBorder="1"/>
    <xf numFmtId="0" fontId="1" fillId="9" borderId="30" xfId="0" applyFont="1" applyFill="1" applyBorder="1"/>
    <xf numFmtId="0" fontId="1" fillId="0" borderId="3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4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6" xfId="0" applyFont="1" applyBorder="1"/>
    <xf numFmtId="0" fontId="1" fillId="2" borderId="0" xfId="0" applyFont="1" applyFill="1"/>
    <xf numFmtId="0" fontId="1" fillId="0" borderId="29" xfId="0" applyFont="1" applyBorder="1" applyAlignment="1">
      <alignment horizontal="left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0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6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1" fillId="0" borderId="29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1" fillId="0" borderId="0" xfId="0" applyFont="1" applyAlignment="1">
      <alignment horizontal="left" textRotation="180"/>
    </xf>
    <xf numFmtId="0" fontId="1" fillId="5" borderId="31" xfId="0" applyFont="1" applyFill="1" applyBorder="1"/>
    <xf numFmtId="0" fontId="1" fillId="9" borderId="31" xfId="0" applyFont="1" applyFill="1" applyBorder="1"/>
    <xf numFmtId="0" fontId="1" fillId="9" borderId="25" xfId="0" applyFont="1" applyFill="1" applyBorder="1"/>
    <xf numFmtId="0" fontId="1" fillId="4" borderId="25" xfId="0" applyFont="1" applyFill="1" applyBorder="1"/>
    <xf numFmtId="0" fontId="1" fillId="6" borderId="31" xfId="0" applyFont="1" applyFill="1" applyBorder="1"/>
    <xf numFmtId="0" fontId="1" fillId="8" borderId="4" xfId="0" applyFont="1" applyFill="1" applyBorder="1"/>
    <xf numFmtId="0" fontId="1" fillId="8" borderId="29" xfId="0" applyFont="1" applyFill="1" applyBorder="1"/>
    <xf numFmtId="0" fontId="1" fillId="8" borderId="25" xfId="0" applyFont="1" applyFill="1" applyBorder="1"/>
    <xf numFmtId="0" fontId="1" fillId="8" borderId="24" xfId="0" applyFont="1" applyFill="1" applyBorder="1"/>
    <xf numFmtId="0" fontId="1" fillId="10" borderId="4" xfId="0" applyFont="1" applyFill="1" applyBorder="1"/>
    <xf numFmtId="0" fontId="1" fillId="10" borderId="23" xfId="0" applyFont="1" applyFill="1" applyBorder="1"/>
    <xf numFmtId="0" fontId="1" fillId="10" borderId="32" xfId="0" applyFont="1" applyFill="1" applyBorder="1"/>
    <xf numFmtId="0" fontId="1" fillId="10" borderId="24" xfId="0" applyFont="1" applyFill="1" applyBorder="1"/>
    <xf numFmtId="0" fontId="1" fillId="10" borderId="25" xfId="0" applyFont="1" applyFill="1" applyBorder="1"/>
    <xf numFmtId="0" fontId="1" fillId="3" borderId="0" xfId="0" applyFont="1" applyFill="1"/>
    <xf numFmtId="0" fontId="1" fillId="11" borderId="0" xfId="0" applyFont="1" applyFill="1"/>
    <xf numFmtId="0" fontId="2" fillId="3" borderId="7" xfId="0" applyFont="1" applyFill="1" applyBorder="1"/>
    <xf numFmtId="0" fontId="2" fillId="3" borderId="9" xfId="0" applyFont="1" applyFill="1" applyBorder="1"/>
    <xf numFmtId="0" fontId="1" fillId="3" borderId="20" xfId="0" applyFont="1" applyFill="1" applyBorder="1"/>
    <xf numFmtId="0" fontId="1" fillId="3" borderId="19" xfId="0" applyFont="1" applyFill="1" applyBorder="1"/>
    <xf numFmtId="0" fontId="1" fillId="3" borderId="30" xfId="0" applyFont="1" applyFill="1" applyBorder="1"/>
    <xf numFmtId="49" fontId="1" fillId="2" borderId="32" xfId="0" applyNumberFormat="1" applyFont="1" applyFill="1" applyBorder="1"/>
    <xf numFmtId="49" fontId="1" fillId="3" borderId="24" xfId="0" applyNumberFormat="1" applyFont="1" applyFill="1" applyBorder="1"/>
    <xf numFmtId="49" fontId="1" fillId="5" borderId="33" xfId="0" applyNumberFormat="1" applyFont="1" applyFill="1" applyBorder="1"/>
    <xf numFmtId="0" fontId="1" fillId="3" borderId="18" xfId="0" applyFont="1" applyFill="1" applyBorder="1"/>
    <xf numFmtId="49" fontId="1" fillId="3" borderId="26" xfId="0" applyNumberFormat="1" applyFont="1" applyFill="1" applyBorder="1"/>
    <xf numFmtId="0" fontId="1" fillId="5" borderId="26" xfId="0" applyFont="1" applyFill="1" applyBorder="1"/>
    <xf numFmtId="49" fontId="1" fillId="5" borderId="31" xfId="0" applyNumberFormat="1" applyFont="1" applyFill="1" applyBorder="1"/>
    <xf numFmtId="0" fontId="1" fillId="3" borderId="4" xfId="0" applyFont="1" applyFill="1" applyBorder="1"/>
    <xf numFmtId="0" fontId="1" fillId="5" borderId="21" xfId="0" applyFont="1" applyFill="1" applyBorder="1"/>
    <xf numFmtId="0" fontId="1" fillId="7" borderId="26" xfId="0" applyFont="1" applyFill="1" applyBorder="1"/>
    <xf numFmtId="0" fontId="1" fillId="6" borderId="26" xfId="0" applyFont="1" applyFill="1" applyBorder="1"/>
    <xf numFmtId="0" fontId="1" fillId="6" borderId="0" xfId="0" applyFont="1" applyFill="1"/>
    <xf numFmtId="0" fontId="1" fillId="9" borderId="26" xfId="0" applyFont="1" applyFill="1" applyBorder="1"/>
    <xf numFmtId="0" fontId="1" fillId="0" borderId="26" xfId="0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3" xfId="0" applyFont="1" applyFill="1" applyBorder="1"/>
    <xf numFmtId="0" fontId="1" fillId="3" borderId="26" xfId="0" applyFont="1" applyFill="1" applyBorder="1" applyAlignment="1">
      <alignment vertical="top"/>
    </xf>
    <xf numFmtId="49" fontId="1" fillId="2" borderId="29" xfId="0" applyNumberFormat="1" applyFont="1" applyFill="1" applyBorder="1"/>
    <xf numFmtId="49" fontId="1" fillId="2" borderId="30" xfId="0" applyNumberFormat="1" applyFont="1" applyFill="1" applyBorder="1"/>
    <xf numFmtId="0" fontId="1" fillId="5" borderId="18" xfId="0" applyFont="1" applyFill="1" applyBorder="1"/>
    <xf numFmtId="0" fontId="1" fillId="6" borderId="21" xfId="0" applyFont="1" applyFill="1" applyBorder="1"/>
    <xf numFmtId="0" fontId="0" fillId="5" borderId="28" xfId="0" applyFill="1" applyBorder="1"/>
    <xf numFmtId="0" fontId="0" fillId="7" borderId="30" xfId="0" applyFill="1" applyBorder="1"/>
    <xf numFmtId="0" fontId="0" fillId="7" borderId="28" xfId="0" applyFill="1" applyBorder="1"/>
    <xf numFmtId="0" fontId="1" fillId="0" borderId="34" xfId="0" applyFont="1" applyBorder="1"/>
    <xf numFmtId="0" fontId="2" fillId="2" borderId="35" xfId="0" applyFont="1" applyFill="1" applyBorder="1"/>
    <xf numFmtId="0" fontId="1" fillId="2" borderId="2" xfId="0" applyFont="1" applyFill="1" applyBorder="1"/>
    <xf numFmtId="49" fontId="1" fillId="2" borderId="31" xfId="0" applyNumberFormat="1" applyFont="1" applyFill="1" applyBorder="1"/>
    <xf numFmtId="0" fontId="1" fillId="2" borderId="28" xfId="0" applyFont="1" applyFill="1" applyBorder="1"/>
    <xf numFmtId="49" fontId="1" fillId="2" borderId="36" xfId="0" applyNumberFormat="1" applyFont="1" applyFill="1" applyBorder="1"/>
    <xf numFmtId="0" fontId="0" fillId="9" borderId="30" xfId="0" applyFill="1" applyBorder="1"/>
    <xf numFmtId="0" fontId="1" fillId="0" borderId="31" xfId="0" applyFont="1" applyBorder="1"/>
    <xf numFmtId="0" fontId="3" fillId="6" borderId="30" xfId="0" applyFont="1" applyFill="1" applyBorder="1"/>
    <xf numFmtId="0" fontId="1" fillId="0" borderId="37" xfId="0" applyFont="1" applyBorder="1"/>
    <xf numFmtId="0" fontId="1" fillId="5" borderId="36" xfId="0" applyFont="1" applyFill="1" applyBorder="1"/>
    <xf numFmtId="0" fontId="1" fillId="4" borderId="31" xfId="0" applyFont="1" applyFill="1" applyBorder="1"/>
    <xf numFmtId="0" fontId="1" fillId="8" borderId="31" xfId="0" applyFont="1" applyFill="1" applyBorder="1"/>
    <xf numFmtId="0" fontId="1" fillId="8" borderId="30" xfId="0" applyFont="1" applyFill="1" applyBorder="1"/>
    <xf numFmtId="0" fontId="1" fillId="10" borderId="29" xfId="0" applyFont="1" applyFill="1" applyBorder="1"/>
    <xf numFmtId="0" fontId="1" fillId="10" borderId="31" xfId="0" applyFont="1" applyFill="1" applyBorder="1"/>
    <xf numFmtId="0" fontId="1" fillId="10" borderId="30" xfId="0" applyFont="1" applyFill="1" applyBorder="1"/>
    <xf numFmtId="0" fontId="2" fillId="2" borderId="20" xfId="0" applyFont="1" applyFill="1" applyBorder="1"/>
    <xf numFmtId="0" fontId="2" fillId="2" borderId="38" xfId="0" applyFont="1" applyFill="1" applyBorder="1"/>
    <xf numFmtId="0" fontId="2" fillId="2" borderId="39" xfId="0" applyFont="1" applyFill="1" applyBorder="1"/>
    <xf numFmtId="0" fontId="2" fillId="2" borderId="40" xfId="0" applyFont="1" applyFill="1" applyBorder="1"/>
    <xf numFmtId="0" fontId="2" fillId="2" borderId="41" xfId="0" applyFont="1" applyFill="1" applyBorder="1"/>
    <xf numFmtId="0" fontId="1" fillId="2" borderId="30" xfId="0" applyFont="1" applyFill="1" applyBorder="1"/>
    <xf numFmtId="0" fontId="1" fillId="2" borderId="24" xfId="0" applyFont="1" applyFill="1" applyBorder="1"/>
    <xf numFmtId="0" fontId="1" fillId="2" borderId="42" xfId="0" applyFont="1" applyFill="1" applyBorder="1"/>
    <xf numFmtId="49" fontId="1" fillId="2" borderId="33" xfId="0" applyNumberFormat="1" applyFont="1" applyFill="1" applyBorder="1"/>
    <xf numFmtId="0" fontId="1" fillId="5" borderId="33" xfId="0" applyFont="1" applyFill="1" applyBorder="1"/>
    <xf numFmtId="0" fontId="1" fillId="10" borderId="28" xfId="0" applyFont="1" applyFill="1" applyBorder="1"/>
    <xf numFmtId="0" fontId="1" fillId="6" borderId="33" xfId="0" applyFont="1" applyFill="1" applyBorder="1"/>
    <xf numFmtId="0" fontId="1" fillId="0" borderId="33" xfId="0" applyFont="1" applyBorder="1"/>
    <xf numFmtId="0" fontId="1" fillId="0" borderId="0" xfId="0" applyFont="1" applyAlignment="1">
      <alignment horizontal="left" vertical="top" textRotation="180"/>
    </xf>
    <xf numFmtId="0" fontId="1" fillId="0" borderId="30" xfId="0" applyFont="1" applyBorder="1" applyAlignment="1">
      <alignment horizontal="left" vertical="top" textRotation="180"/>
    </xf>
    <xf numFmtId="0" fontId="1" fillId="0" borderId="28" xfId="0" applyFont="1" applyBorder="1" applyAlignment="1">
      <alignment horizontal="left" vertical="top" textRotation="180"/>
    </xf>
    <xf numFmtId="0" fontId="1" fillId="0" borderId="24" xfId="0" applyFont="1" applyBorder="1" applyAlignment="1">
      <alignment horizontal="left" vertical="top" textRotation="180"/>
    </xf>
    <xf numFmtId="0" fontId="1" fillId="0" borderId="4" xfId="0" applyFont="1" applyBorder="1" applyAlignment="1">
      <alignment horizontal="left" vertical="top" textRotation="180"/>
    </xf>
    <xf numFmtId="0" fontId="1" fillId="0" borderId="43" xfId="0" applyFont="1" applyBorder="1" applyAlignment="1">
      <alignment horizontal="left" textRotation="180"/>
    </xf>
    <xf numFmtId="0" fontId="1" fillId="5" borderId="44" xfId="0" applyFont="1" applyFill="1" applyBorder="1"/>
    <xf numFmtId="0" fontId="1" fillId="9" borderId="33" xfId="0" applyFont="1" applyFill="1" applyBorder="1"/>
    <xf numFmtId="0" fontId="1" fillId="4" borderId="33" xfId="0" applyFont="1" applyFill="1" applyBorder="1"/>
    <xf numFmtId="0" fontId="1" fillId="8" borderId="33" xfId="0" applyFont="1" applyFill="1" applyBorder="1"/>
    <xf numFmtId="0" fontId="1" fillId="10" borderId="33" xfId="0" applyFont="1" applyFill="1" applyBorder="1"/>
    <xf numFmtId="0" fontId="1" fillId="12" borderId="30" xfId="0" applyFont="1" applyFill="1" applyBorder="1"/>
    <xf numFmtId="0" fontId="1" fillId="10" borderId="0" xfId="0" applyFont="1" applyFill="1"/>
    <xf numFmtId="49" fontId="1" fillId="4" borderId="30" xfId="0" applyNumberFormat="1" applyFont="1" applyFill="1" applyBorder="1"/>
    <xf numFmtId="0" fontId="4" fillId="4" borderId="0" xfId="0" applyFont="1" applyFill="1"/>
    <xf numFmtId="0" fontId="2" fillId="2" borderId="24" xfId="0" applyFont="1" applyFill="1" applyBorder="1"/>
    <xf numFmtId="0" fontId="1" fillId="4" borderId="0" xfId="0" applyFont="1" applyFill="1"/>
    <xf numFmtId="0" fontId="1" fillId="8" borderId="0" xfId="0" applyFont="1" applyFill="1"/>
    <xf numFmtId="0" fontId="1" fillId="6" borderId="24" xfId="0" applyFont="1" applyFill="1" applyBorder="1" applyAlignment="1">
      <alignment horizontal="left" vertical="top" textRotation="180"/>
    </xf>
    <xf numFmtId="0" fontId="5" fillId="2" borderId="24" xfId="0" applyFont="1" applyFill="1" applyBorder="1"/>
    <xf numFmtId="0" fontId="5" fillId="0" borderId="0" xfId="0" applyFont="1"/>
    <xf numFmtId="0" fontId="0" fillId="2" borderId="24" xfId="0" applyFill="1" applyBorder="1"/>
    <xf numFmtId="49" fontId="0" fillId="2" borderId="24" xfId="0" applyNumberFormat="1" applyFill="1" applyBorder="1"/>
    <xf numFmtId="49" fontId="0" fillId="13" borderId="24" xfId="0" applyNumberFormat="1" applyFill="1" applyBorder="1"/>
    <xf numFmtId="49" fontId="0" fillId="0" borderId="24" xfId="0" applyNumberFormat="1" applyBorder="1"/>
    <xf numFmtId="49" fontId="0" fillId="0" borderId="0" xfId="0" applyNumberFormat="1"/>
    <xf numFmtId="49" fontId="3" fillId="0" borderId="24" xfId="0" applyNumberFormat="1" applyFont="1" applyBorder="1"/>
    <xf numFmtId="0" fontId="0" fillId="13" borderId="24" xfId="0" applyFill="1" applyBorder="1"/>
    <xf numFmtId="0" fontId="0" fillId="5" borderId="24" xfId="0" applyFill="1" applyBorder="1"/>
    <xf numFmtId="0" fontId="0" fillId="6" borderId="24" xfId="0" applyFill="1" applyBorder="1"/>
    <xf numFmtId="0" fontId="0" fillId="4" borderId="24" xfId="0" applyFill="1" applyBorder="1"/>
    <xf numFmtId="0" fontId="0" fillId="8" borderId="0" xfId="0" applyFill="1"/>
    <xf numFmtId="0" fontId="0" fillId="8" borderId="24" xfId="0" applyFill="1" applyBorder="1"/>
    <xf numFmtId="0" fontId="6" fillId="5" borderId="24" xfId="0" applyFont="1" applyFill="1" applyBorder="1"/>
    <xf numFmtId="0" fontId="6" fillId="13" borderId="24" xfId="0" applyFont="1" applyFill="1" applyBorder="1"/>
    <xf numFmtId="0" fontId="0" fillId="0" borderId="24" xfId="0" applyBorder="1"/>
    <xf numFmtId="0" fontId="7" fillId="13" borderId="24" xfId="0" applyFont="1" applyFill="1" applyBorder="1"/>
    <xf numFmtId="0" fontId="8" fillId="0" borderId="0" xfId="0" applyFont="1"/>
    <xf numFmtId="0" fontId="5" fillId="0" borderId="24" xfId="0" applyFont="1" applyBorder="1"/>
    <xf numFmtId="0" fontId="0" fillId="14" borderId="24" xfId="0" applyFill="1" applyBorder="1"/>
    <xf numFmtId="49" fontId="0" fillId="14" borderId="24" xfId="0" applyNumberFormat="1" applyFill="1" applyBorder="1"/>
    <xf numFmtId="0" fontId="0" fillId="15" borderId="24" xfId="0" applyFill="1" applyBorder="1"/>
    <xf numFmtId="0" fontId="6" fillId="8" borderId="24" xfId="0" applyFont="1" applyFill="1" applyBorder="1"/>
    <xf numFmtId="0" fontId="0" fillId="0" borderId="45" xfId="0" applyBorder="1"/>
    <xf numFmtId="0" fontId="0" fillId="0" borderId="4" xfId="0" applyBorder="1"/>
    <xf numFmtId="0" fontId="0" fillId="0" borderId="26" xfId="0" applyBorder="1"/>
    <xf numFmtId="0" fontId="0" fillId="0" borderId="25" xfId="0" applyBorder="1"/>
    <xf numFmtId="0" fontId="0" fillId="16" borderId="24" xfId="0" applyFill="1" applyBorder="1"/>
    <xf numFmtId="0" fontId="1" fillId="17" borderId="28" xfId="0" applyFont="1" applyFill="1" applyBorder="1"/>
    <xf numFmtId="49" fontId="1" fillId="17" borderId="25" xfId="0" applyNumberFormat="1" applyFont="1" applyFill="1" applyBorder="1"/>
    <xf numFmtId="0" fontId="1" fillId="18" borderId="4" xfId="0" applyFont="1" applyFill="1" applyBorder="1"/>
    <xf numFmtId="49" fontId="1" fillId="17" borderId="24" xfId="0" applyNumberFormat="1" applyFont="1" applyFill="1" applyBorder="1"/>
    <xf numFmtId="0" fontId="1" fillId="17" borderId="24" xfId="0" applyFont="1" applyFill="1" applyBorder="1"/>
    <xf numFmtId="0" fontId="1" fillId="20" borderId="24" xfId="0" applyFont="1" applyFill="1" applyBorder="1"/>
    <xf numFmtId="49" fontId="1" fillId="17" borderId="29" xfId="0" applyNumberFormat="1" applyFont="1" applyFill="1" applyBorder="1"/>
    <xf numFmtId="0" fontId="1" fillId="17" borderId="30" xfId="0" applyFont="1" applyFill="1" applyBorder="1"/>
    <xf numFmtId="0" fontId="1" fillId="21" borderId="30" xfId="0" applyFont="1" applyFill="1" applyBorder="1"/>
    <xf numFmtId="0" fontId="1" fillId="21" borderId="28" xfId="0" applyFont="1" applyFill="1" applyBorder="1"/>
    <xf numFmtId="0" fontId="1" fillId="22" borderId="30" xfId="0" applyFont="1" applyFill="1" applyBorder="1"/>
    <xf numFmtId="0" fontId="1" fillId="22" borderId="28" xfId="0" applyFont="1" applyFill="1" applyBorder="1"/>
    <xf numFmtId="0" fontId="1" fillId="18" borderId="30" xfId="0" applyFont="1" applyFill="1" applyBorder="1"/>
    <xf numFmtId="0" fontId="1" fillId="18" borderId="28" xfId="0" applyFont="1" applyFill="1" applyBorder="1"/>
    <xf numFmtId="0" fontId="2" fillId="23" borderId="6" xfId="0" applyFont="1" applyFill="1" applyBorder="1"/>
    <xf numFmtId="0" fontId="2" fillId="23" borderId="8" xfId="0" applyFont="1" applyFill="1" applyBorder="1"/>
    <xf numFmtId="0" fontId="1" fillId="18" borderId="24" xfId="0" applyFont="1" applyFill="1" applyBorder="1"/>
    <xf numFmtId="0" fontId="1" fillId="22" borderId="24" xfId="0" applyFont="1" applyFill="1" applyBorder="1"/>
    <xf numFmtId="0" fontId="1" fillId="24" borderId="24" xfId="0" applyFont="1" applyFill="1" applyBorder="1"/>
    <xf numFmtId="0" fontId="1" fillId="25" borderId="24" xfId="0" applyFont="1" applyFill="1" applyBorder="1"/>
    <xf numFmtId="0" fontId="2" fillId="19" borderId="12" xfId="0" applyFont="1" applyFill="1" applyBorder="1"/>
    <xf numFmtId="0" fontId="1" fillId="22" borderId="4" xfId="0" applyFont="1" applyFill="1" applyBorder="1"/>
    <xf numFmtId="0" fontId="1" fillId="26" borderId="25" xfId="0" applyFont="1" applyFill="1" applyBorder="1"/>
    <xf numFmtId="0" fontId="1" fillId="5" borderId="14" xfId="0" applyFont="1" applyFill="1" applyBorder="1"/>
    <xf numFmtId="0" fontId="1" fillId="24" borderId="29" xfId="0" applyFont="1" applyFill="1" applyBorder="1"/>
    <xf numFmtId="0" fontId="1" fillId="20" borderId="29" xfId="0" applyFont="1" applyFill="1" applyBorder="1"/>
    <xf numFmtId="0" fontId="1" fillId="25" borderId="29" xfId="0" applyFont="1" applyFill="1" applyBorder="1"/>
    <xf numFmtId="0" fontId="1" fillId="5" borderId="23" xfId="0" applyFont="1" applyFill="1" applyBorder="1"/>
    <xf numFmtId="0" fontId="1" fillId="17" borderId="29" xfId="0" applyFont="1" applyFill="1" applyBorder="1"/>
    <xf numFmtId="0" fontId="1" fillId="27" borderId="24" xfId="0" applyFont="1" applyFill="1" applyBorder="1"/>
    <xf numFmtId="0" fontId="1" fillId="28" borderId="24" xfId="0" applyFont="1" applyFill="1" applyBorder="1"/>
    <xf numFmtId="0" fontId="1" fillId="29" borderId="24" xfId="0" applyFont="1" applyFill="1" applyBorder="1"/>
    <xf numFmtId="0" fontId="1" fillId="27" borderId="25" xfId="0" applyFont="1" applyFill="1" applyBorder="1"/>
    <xf numFmtId="0" fontId="1" fillId="25" borderId="25" xfId="0" applyFont="1" applyFill="1" applyBorder="1"/>
    <xf numFmtId="0" fontId="1" fillId="30" borderId="25" xfId="0" applyFont="1" applyFill="1" applyBorder="1"/>
    <xf numFmtId="49" fontId="1" fillId="26" borderId="29" xfId="0" applyNumberFormat="1" applyFont="1" applyFill="1" applyBorder="1"/>
    <xf numFmtId="0" fontId="1" fillId="31" borderId="30" xfId="0" applyFont="1" applyFill="1" applyBorder="1"/>
    <xf numFmtId="0" fontId="1" fillId="31" borderId="28" xfId="0" applyFont="1" applyFill="1" applyBorder="1"/>
    <xf numFmtId="0" fontId="1" fillId="32" borderId="30" xfId="0" applyFont="1" applyFill="1" applyBorder="1"/>
    <xf numFmtId="0" fontId="1" fillId="32" borderId="28" xfId="0" applyFont="1" applyFill="1" applyBorder="1"/>
    <xf numFmtId="49" fontId="1" fillId="31" borderId="18" xfId="0" applyNumberFormat="1" applyFont="1" applyFill="1" applyBorder="1"/>
    <xf numFmtId="0" fontId="1" fillId="31" borderId="29" xfId="0" applyFont="1" applyFill="1" applyBorder="1"/>
    <xf numFmtId="0" fontId="1" fillId="31" borderId="25" xfId="0" applyFont="1" applyFill="1" applyBorder="1"/>
    <xf numFmtId="0" fontId="1" fillId="25" borderId="30" xfId="0" applyFont="1" applyFill="1" applyBorder="1"/>
    <xf numFmtId="0" fontId="1" fillId="24" borderId="28" xfId="0" applyFont="1" applyFill="1" applyBorder="1"/>
    <xf numFmtId="0" fontId="1" fillId="26" borderId="28" xfId="0" applyFont="1" applyFill="1" applyBorder="1"/>
    <xf numFmtId="0" fontId="1" fillId="33" borderId="28" xfId="0" applyFont="1" applyFill="1" applyBorder="1"/>
    <xf numFmtId="49" fontId="1" fillId="31" borderId="24" xfId="0" applyNumberFormat="1" applyFont="1" applyFill="1" applyBorder="1"/>
    <xf numFmtId="49" fontId="1" fillId="31" borderId="29" xfId="0" applyNumberFormat="1" applyFont="1" applyFill="1" applyBorder="1"/>
    <xf numFmtId="0" fontId="1" fillId="31" borderId="4" xfId="0" applyFont="1" applyFill="1" applyBorder="1"/>
    <xf numFmtId="0" fontId="1" fillId="31" borderId="24" xfId="0" applyFont="1" applyFill="1" applyBorder="1"/>
    <xf numFmtId="0" fontId="1" fillId="33" borderId="24" xfId="0" applyFont="1" applyFill="1" applyBorder="1"/>
    <xf numFmtId="0" fontId="1" fillId="31" borderId="26" xfId="0" applyFont="1" applyFill="1" applyBorder="1"/>
    <xf numFmtId="0" fontId="2" fillId="34" borderId="7" xfId="0" applyFont="1" applyFill="1" applyBorder="1"/>
    <xf numFmtId="0" fontId="1" fillId="34" borderId="17" xfId="0" applyFont="1" applyFill="1" applyBorder="1"/>
    <xf numFmtId="49" fontId="1" fillId="34" borderId="26" xfId="0" applyNumberFormat="1" applyFont="1" applyFill="1" applyBorder="1"/>
    <xf numFmtId="49" fontId="1" fillId="35" borderId="29" xfId="0" applyNumberFormat="1" applyFont="1" applyFill="1" applyBorder="1"/>
    <xf numFmtId="49" fontId="1" fillId="35" borderId="28" xfId="0" applyNumberFormat="1" applyFont="1" applyFill="1" applyBorder="1"/>
    <xf numFmtId="0" fontId="1" fillId="35" borderId="28" xfId="0" applyFont="1" applyFill="1" applyBorder="1"/>
    <xf numFmtId="0" fontId="1" fillId="34" borderId="28" xfId="0" applyFont="1" applyFill="1" applyBorder="1"/>
    <xf numFmtId="0" fontId="1" fillId="36" borderId="4" xfId="0" applyFont="1" applyFill="1" applyBorder="1"/>
    <xf numFmtId="0" fontId="1" fillId="36" borderId="28" xfId="0" applyFont="1" applyFill="1" applyBorder="1"/>
    <xf numFmtId="0" fontId="1" fillId="37" borderId="28" xfId="0" applyFont="1" applyFill="1" applyBorder="1"/>
    <xf numFmtId="0" fontId="1" fillId="38" borderId="28" xfId="0" applyFont="1" applyFill="1" applyBorder="1"/>
    <xf numFmtId="0" fontId="1" fillId="38" borderId="28" xfId="0" applyFont="1" applyFill="1" applyBorder="1" applyAlignment="1">
      <alignment horizontal="left"/>
    </xf>
    <xf numFmtId="0" fontId="1" fillId="31" borderId="0" xfId="0" applyFont="1" applyFill="1"/>
    <xf numFmtId="0" fontId="1" fillId="26" borderId="4" xfId="0" applyFont="1" applyFill="1" applyBorder="1"/>
    <xf numFmtId="0" fontId="1" fillId="26" borderId="24" xfId="0" applyFont="1" applyFill="1" applyBorder="1"/>
    <xf numFmtId="0" fontId="1" fillId="39" borderId="24" xfId="0" applyFont="1" applyFill="1" applyBorder="1"/>
    <xf numFmtId="0" fontId="1" fillId="40" borderId="26" xfId="0" applyFont="1" applyFill="1" applyBorder="1"/>
    <xf numFmtId="0" fontId="1" fillId="40" borderId="4" xfId="0" applyFont="1" applyFill="1" applyBorder="1"/>
    <xf numFmtId="0" fontId="1" fillId="26" borderId="30" xfId="0" applyFont="1" applyFill="1" applyBorder="1"/>
    <xf numFmtId="0" fontId="1" fillId="0" borderId="3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3" xfId="0" applyFont="1" applyBorder="1" applyAlignment="1">
      <alignment horizontal="left"/>
    </xf>
    <xf numFmtId="0" fontId="1" fillId="5" borderId="24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left"/>
    </xf>
    <xf numFmtId="0" fontId="1" fillId="6" borderId="24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8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00B0F0"/>
      <rgbColor rgb="FF92D050"/>
      <rgbColor rgb="FFFFC000"/>
      <rgbColor rgb="FFF79646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3A73-5175-45CF-9D97-FBB4EDEDC26C}">
  <dimension ref="A1:AMK1046"/>
  <sheetViews>
    <sheetView tabSelected="1" workbookViewId="0">
      <selection activeCell="P31" sqref="P31"/>
    </sheetView>
  </sheetViews>
  <sheetFormatPr defaultColWidth="8.85546875" defaultRowHeight="15" x14ac:dyDescent="0.25"/>
  <cols>
    <col min="1" max="1" width="23.28515625" style="3" customWidth="1"/>
    <col min="2" max="2" width="7.28515625" style="4" customWidth="1"/>
    <col min="3" max="3" width="7.28515625" style="5" customWidth="1"/>
    <col min="4" max="6" width="7.28515625" style="4" customWidth="1"/>
    <col min="7" max="7" width="7.28515625" style="3" customWidth="1"/>
    <col min="8" max="8" width="7.28515625" style="5" customWidth="1"/>
    <col min="9" max="10" width="7.28515625" style="3" customWidth="1"/>
    <col min="11" max="11" width="7.28515625" style="6" customWidth="1"/>
    <col min="12" max="12" width="7.28515625" style="3" customWidth="1"/>
    <col min="13" max="13" width="7.28515625" style="4" customWidth="1"/>
    <col min="14" max="14" width="7.28515625" style="5" customWidth="1"/>
    <col min="15" max="15" width="7.28515625" style="3" customWidth="1"/>
    <col min="16" max="16" width="7.28515625" style="5" customWidth="1"/>
    <col min="17" max="17" width="8.140625" style="3" customWidth="1"/>
    <col min="18" max="18" width="7.28515625" style="4" customWidth="1"/>
    <col min="19" max="19" width="7.28515625" style="5" customWidth="1"/>
    <col min="20" max="21" width="7.28515625" style="4" customWidth="1"/>
    <col min="22" max="22" width="7.28515625" style="3" customWidth="1"/>
    <col min="23" max="23" width="8.140625" style="3" customWidth="1"/>
    <col min="24" max="24" width="8.28515625" style="3" customWidth="1"/>
    <col min="25" max="28" width="8.85546875" style="3"/>
    <col min="29" max="29" width="9.42578125" style="3" customWidth="1"/>
    <col min="30" max="31" width="8.85546875" style="3"/>
    <col min="32" max="32" width="7.85546875" style="3" customWidth="1"/>
    <col min="33" max="1025" width="8.85546875" style="3"/>
  </cols>
  <sheetData>
    <row r="1" spans="1:33" s="19" customFormat="1" ht="15.75" thickBot="1" x14ac:dyDescent="0.3">
      <c r="A1" s="7"/>
      <c r="B1" s="8" t="s">
        <v>0</v>
      </c>
      <c r="C1" s="8" t="s">
        <v>0</v>
      </c>
      <c r="D1" s="8" t="s">
        <v>1</v>
      </c>
      <c r="E1" s="8" t="s">
        <v>1</v>
      </c>
      <c r="F1" s="9" t="s">
        <v>2</v>
      </c>
      <c r="G1" s="10" t="s">
        <v>3</v>
      </c>
      <c r="H1" s="9" t="s">
        <v>4</v>
      </c>
      <c r="I1" s="13" t="s">
        <v>488</v>
      </c>
      <c r="J1" s="13" t="s">
        <v>489</v>
      </c>
      <c r="K1" s="11" t="s">
        <v>5</v>
      </c>
      <c r="L1" s="12" t="s">
        <v>6</v>
      </c>
      <c r="M1" s="17" t="s">
        <v>7</v>
      </c>
      <c r="N1" s="209" t="s">
        <v>8</v>
      </c>
      <c r="O1" s="15" t="s">
        <v>9</v>
      </c>
      <c r="P1" s="256" t="s">
        <v>10</v>
      </c>
      <c r="Q1" s="15" t="s">
        <v>10</v>
      </c>
      <c r="R1" s="12" t="s">
        <v>11</v>
      </c>
      <c r="S1" s="12" t="s">
        <v>12</v>
      </c>
      <c r="T1" s="295" t="s">
        <v>13</v>
      </c>
      <c r="U1" s="9" t="s">
        <v>14</v>
      </c>
      <c r="V1" s="11" t="s">
        <v>486</v>
      </c>
      <c r="W1" s="257" t="s">
        <v>15</v>
      </c>
      <c r="X1" s="12" t="s">
        <v>16</v>
      </c>
      <c r="Y1" s="17" t="s">
        <v>17</v>
      </c>
      <c r="Z1" s="18" t="s">
        <v>18</v>
      </c>
      <c r="AA1" s="9" t="s">
        <v>19</v>
      </c>
      <c r="AB1" s="10" t="s">
        <v>20</v>
      </c>
      <c r="AC1" s="9" t="s">
        <v>21</v>
      </c>
      <c r="AD1" s="9" t="s">
        <v>22</v>
      </c>
      <c r="AE1" s="11" t="s">
        <v>23</v>
      </c>
      <c r="AF1" s="11" t="s">
        <v>487</v>
      </c>
    </row>
    <row r="2" spans="1:33" x14ac:dyDescent="0.25">
      <c r="A2" s="20" t="s">
        <v>24</v>
      </c>
      <c r="B2" s="21"/>
      <c r="C2" s="22"/>
      <c r="D2" s="23"/>
      <c r="E2" s="24"/>
      <c r="F2" s="25"/>
      <c r="G2" s="24"/>
      <c r="H2" s="25"/>
      <c r="I2" s="28"/>
      <c r="J2" s="28"/>
      <c r="K2" s="22"/>
      <c r="L2" s="26"/>
      <c r="M2" s="21"/>
      <c r="N2" s="187"/>
      <c r="O2" s="23"/>
      <c r="P2" s="25"/>
      <c r="Q2" s="23"/>
      <c r="R2" s="26"/>
      <c r="S2" s="26"/>
      <c r="T2" s="296"/>
      <c r="U2" s="25"/>
      <c r="V2" s="22"/>
      <c r="W2" s="22"/>
      <c r="X2" s="26"/>
      <c r="Y2" s="21"/>
      <c r="Z2" s="24"/>
      <c r="AA2" s="25"/>
      <c r="AB2" s="24"/>
      <c r="AC2" s="25"/>
      <c r="AD2" s="23"/>
      <c r="AE2" s="22"/>
      <c r="AF2" s="22"/>
    </row>
    <row r="3" spans="1:33" s="38" customFormat="1" x14ac:dyDescent="0.25">
      <c r="A3" s="29" t="s">
        <v>25</v>
      </c>
      <c r="B3" s="30" t="s">
        <v>26</v>
      </c>
      <c r="C3" s="30" t="s">
        <v>26</v>
      </c>
      <c r="D3" s="30" t="s">
        <v>26</v>
      </c>
      <c r="E3" s="30" t="s">
        <v>26</v>
      </c>
      <c r="F3" s="30" t="s">
        <v>484</v>
      </c>
      <c r="G3" s="30" t="s">
        <v>484</v>
      </c>
      <c r="H3" s="31" t="s">
        <v>484</v>
      </c>
      <c r="I3" s="32" t="s">
        <v>490</v>
      </c>
      <c r="J3" s="32" t="s">
        <v>490</v>
      </c>
      <c r="K3" s="35" t="s">
        <v>26</v>
      </c>
      <c r="L3" s="29" t="s">
        <v>484</v>
      </c>
      <c r="M3" s="157" t="s">
        <v>28</v>
      </c>
      <c r="N3" s="32" t="s">
        <v>28</v>
      </c>
      <c r="O3" s="34" t="s">
        <v>28</v>
      </c>
      <c r="P3" s="31" t="s">
        <v>26</v>
      </c>
      <c r="Q3" s="32" t="s">
        <v>490</v>
      </c>
      <c r="R3" s="32" t="s">
        <v>28</v>
      </c>
      <c r="S3" s="35" t="s">
        <v>28</v>
      </c>
      <c r="T3" s="297" t="s">
        <v>29</v>
      </c>
      <c r="U3" s="31" t="s">
        <v>26</v>
      </c>
      <c r="V3" s="32" t="s">
        <v>26</v>
      </c>
      <c r="W3" s="32" t="s">
        <v>26</v>
      </c>
      <c r="X3" s="29" t="s">
        <v>26</v>
      </c>
      <c r="Y3" s="31" t="s">
        <v>30</v>
      </c>
      <c r="Z3" s="36" t="s">
        <v>30</v>
      </c>
      <c r="AA3" s="30" t="s">
        <v>26</v>
      </c>
      <c r="AB3" s="37" t="s">
        <v>26</v>
      </c>
      <c r="AC3" s="31" t="s">
        <v>26</v>
      </c>
      <c r="AD3" s="32" t="s">
        <v>26</v>
      </c>
      <c r="AE3" s="32" t="s">
        <v>484</v>
      </c>
      <c r="AF3" s="32" t="s">
        <v>484</v>
      </c>
    </row>
    <row r="4" spans="1:33" s="38" customFormat="1" x14ac:dyDescent="0.25">
      <c r="A4" s="29" t="s">
        <v>31</v>
      </c>
      <c r="B4" s="39" t="s">
        <v>32</v>
      </c>
      <c r="C4" s="40" t="s">
        <v>490</v>
      </c>
      <c r="D4" s="41" t="s">
        <v>33</v>
      </c>
      <c r="E4" s="40" t="s">
        <v>490</v>
      </c>
      <c r="F4" s="40" t="s">
        <v>490</v>
      </c>
      <c r="G4" s="40" t="s">
        <v>490</v>
      </c>
      <c r="H4" s="248" t="s">
        <v>490</v>
      </c>
      <c r="I4" s="245" t="s">
        <v>90</v>
      </c>
      <c r="J4" s="245" t="s">
        <v>490</v>
      </c>
      <c r="K4" s="44" t="s">
        <v>490</v>
      </c>
      <c r="L4" s="43" t="s">
        <v>490</v>
      </c>
      <c r="M4" s="40" t="s">
        <v>490</v>
      </c>
      <c r="N4" s="40" t="s">
        <v>490</v>
      </c>
      <c r="O4" s="40" t="s">
        <v>490</v>
      </c>
      <c r="P4" s="40" t="s">
        <v>490</v>
      </c>
      <c r="Q4" s="42" t="s">
        <v>90</v>
      </c>
      <c r="R4" s="40" t="s">
        <v>490</v>
      </c>
      <c r="S4" s="40" t="s">
        <v>490</v>
      </c>
      <c r="T4" s="298" t="s">
        <v>490</v>
      </c>
      <c r="U4" s="40" t="s">
        <v>490</v>
      </c>
      <c r="V4" s="40" t="s">
        <v>490</v>
      </c>
      <c r="W4" s="40" t="s">
        <v>490</v>
      </c>
      <c r="X4" s="40" t="s">
        <v>490</v>
      </c>
      <c r="Y4" s="277" t="s">
        <v>494</v>
      </c>
      <c r="Z4" s="40" t="s">
        <v>490</v>
      </c>
      <c r="AA4" s="40" t="s">
        <v>490</v>
      </c>
      <c r="AB4" s="277" t="s">
        <v>493</v>
      </c>
      <c r="AC4" s="40" t="s">
        <v>490</v>
      </c>
      <c r="AD4" s="40" t="s">
        <v>490</v>
      </c>
      <c r="AE4" s="40" t="s">
        <v>490</v>
      </c>
      <c r="AF4" s="40" t="s">
        <v>490</v>
      </c>
    </row>
    <row r="5" spans="1:33" s="38" customFormat="1" x14ac:dyDescent="0.25">
      <c r="A5" s="29" t="s">
        <v>34</v>
      </c>
      <c r="B5" s="290" t="s">
        <v>35</v>
      </c>
      <c r="C5" s="43" t="s">
        <v>36</v>
      </c>
      <c r="D5" s="289" t="s">
        <v>35</v>
      </c>
      <c r="E5" s="42" t="s">
        <v>36</v>
      </c>
      <c r="F5" s="48" t="s">
        <v>35</v>
      </c>
      <c r="G5" s="50" t="s">
        <v>35</v>
      </c>
      <c r="H5" s="51" t="s">
        <v>36</v>
      </c>
      <c r="I5" s="42" t="s">
        <v>35</v>
      </c>
      <c r="J5" s="42" t="s">
        <v>35</v>
      </c>
      <c r="K5" s="44" t="s">
        <v>36</v>
      </c>
      <c r="L5" s="43" t="s">
        <v>35</v>
      </c>
      <c r="M5" s="52" t="s">
        <v>35</v>
      </c>
      <c r="N5" s="42" t="s">
        <v>35</v>
      </c>
      <c r="O5" s="54" t="s">
        <v>35</v>
      </c>
      <c r="P5" s="55" t="s">
        <v>36</v>
      </c>
      <c r="Q5" s="54" t="s">
        <v>35</v>
      </c>
      <c r="R5" s="43" t="s">
        <v>35</v>
      </c>
      <c r="S5" s="43" t="s">
        <v>35</v>
      </c>
      <c r="T5" s="299" t="s">
        <v>35</v>
      </c>
      <c r="U5" s="54" t="s">
        <v>36</v>
      </c>
      <c r="V5" s="43" t="s">
        <v>35</v>
      </c>
      <c r="W5" s="43" t="s">
        <v>35</v>
      </c>
      <c r="X5" s="43" t="s">
        <v>36</v>
      </c>
      <c r="Y5" s="51" t="s">
        <v>35</v>
      </c>
      <c r="Z5" s="56" t="s">
        <v>35</v>
      </c>
      <c r="AA5" s="282" t="s">
        <v>36</v>
      </c>
      <c r="AB5" s="279" t="s">
        <v>36</v>
      </c>
      <c r="AC5" s="51" t="s">
        <v>36</v>
      </c>
      <c r="AD5" s="42" t="s">
        <v>36</v>
      </c>
      <c r="AE5" s="42" t="s">
        <v>35</v>
      </c>
      <c r="AF5" s="42" t="s">
        <v>35</v>
      </c>
    </row>
    <row r="6" spans="1:33" x14ac:dyDescent="0.25">
      <c r="A6" s="20" t="s">
        <v>38</v>
      </c>
      <c r="B6" s="57">
        <v>2022</v>
      </c>
      <c r="C6" s="53">
        <v>2019</v>
      </c>
      <c r="D6" s="58">
        <v>2022</v>
      </c>
      <c r="E6" s="50">
        <v>2019</v>
      </c>
      <c r="F6" s="252">
        <v>2024</v>
      </c>
      <c r="G6" s="253">
        <v>2024</v>
      </c>
      <c r="H6" s="52">
        <v>2023</v>
      </c>
      <c r="I6" s="53">
        <v>2024</v>
      </c>
      <c r="J6" s="53">
        <v>2024</v>
      </c>
      <c r="K6" s="145">
        <v>2016</v>
      </c>
      <c r="L6" s="62">
        <v>2024</v>
      </c>
      <c r="M6" s="265">
        <v>2022</v>
      </c>
      <c r="N6" s="53">
        <v>2023</v>
      </c>
      <c r="O6" s="64">
        <v>2022</v>
      </c>
      <c r="P6" s="61">
        <v>2017</v>
      </c>
      <c r="Q6" s="64">
        <v>2024</v>
      </c>
      <c r="R6" s="62">
        <v>2023</v>
      </c>
      <c r="S6" s="62">
        <v>2023</v>
      </c>
      <c r="T6" s="300">
        <v>2023</v>
      </c>
      <c r="U6" s="61">
        <v>2024</v>
      </c>
      <c r="V6" s="53">
        <v>2024</v>
      </c>
      <c r="W6" s="53">
        <v>2023</v>
      </c>
      <c r="X6" s="291">
        <v>2024</v>
      </c>
      <c r="Y6" s="283">
        <v>2022</v>
      </c>
      <c r="Z6" s="50">
        <v>2022</v>
      </c>
      <c r="AA6" s="278">
        <v>2015</v>
      </c>
      <c r="AB6" s="279">
        <v>2009</v>
      </c>
      <c r="AC6" s="61">
        <v>2024</v>
      </c>
      <c r="AD6" s="53">
        <v>2016</v>
      </c>
      <c r="AE6" s="246">
        <v>2024</v>
      </c>
      <c r="AF6" s="246">
        <v>2024</v>
      </c>
    </row>
    <row r="7" spans="1:33" x14ac:dyDescent="0.25">
      <c r="A7" s="20" t="s">
        <v>39</v>
      </c>
      <c r="B7" s="57">
        <v>2022</v>
      </c>
      <c r="C7" s="53">
        <v>2019</v>
      </c>
      <c r="D7" s="58">
        <v>2022</v>
      </c>
      <c r="E7" s="50">
        <v>2019</v>
      </c>
      <c r="F7" s="252">
        <v>2024</v>
      </c>
      <c r="G7" s="253">
        <v>2024</v>
      </c>
      <c r="H7" s="52">
        <v>2023</v>
      </c>
      <c r="I7" s="53">
        <v>2024</v>
      </c>
      <c r="J7" s="53">
        <v>2024</v>
      </c>
      <c r="K7" s="145">
        <v>2016</v>
      </c>
      <c r="L7" s="62">
        <v>2024</v>
      </c>
      <c r="M7" s="52">
        <v>2022</v>
      </c>
      <c r="N7" s="53">
        <v>2023</v>
      </c>
      <c r="O7" s="64">
        <v>2022</v>
      </c>
      <c r="P7" s="61">
        <v>2017</v>
      </c>
      <c r="Q7" s="64">
        <v>2024</v>
      </c>
      <c r="R7" s="62">
        <v>2023</v>
      </c>
      <c r="S7" s="62">
        <v>2023</v>
      </c>
      <c r="T7" s="300">
        <v>2023</v>
      </c>
      <c r="U7" s="61">
        <v>2024</v>
      </c>
      <c r="V7" s="53">
        <v>2024</v>
      </c>
      <c r="W7" s="53">
        <v>2023</v>
      </c>
      <c r="X7" s="291">
        <v>2024</v>
      </c>
      <c r="Y7" s="283">
        <v>2022</v>
      </c>
      <c r="Z7" s="50">
        <v>2022</v>
      </c>
      <c r="AA7" s="278">
        <v>2015</v>
      </c>
      <c r="AB7" s="279">
        <v>2009</v>
      </c>
      <c r="AC7" s="61">
        <v>2024</v>
      </c>
      <c r="AD7" s="53">
        <v>2016</v>
      </c>
      <c r="AE7" s="246">
        <v>2024</v>
      </c>
      <c r="AF7" s="246">
        <v>2024</v>
      </c>
      <c r="AG7" s="3" t="s">
        <v>40</v>
      </c>
    </row>
    <row r="8" spans="1:33" x14ac:dyDescent="0.25">
      <c r="A8" s="20" t="s">
        <v>41</v>
      </c>
      <c r="B8" s="66"/>
      <c r="C8" s="53">
        <v>2019</v>
      </c>
      <c r="D8" s="67"/>
      <c r="E8" s="50">
        <v>2019</v>
      </c>
      <c r="F8" s="250"/>
      <c r="G8" s="251"/>
      <c r="H8" s="52">
        <v>2023</v>
      </c>
      <c r="I8" s="271"/>
      <c r="J8" s="271"/>
      <c r="K8" s="145">
        <v>2016</v>
      </c>
      <c r="L8" s="67"/>
      <c r="M8" s="66"/>
      <c r="N8" s="68"/>
      <c r="O8" s="73"/>
      <c r="P8" s="61">
        <v>2017</v>
      </c>
      <c r="Q8" s="274"/>
      <c r="R8" s="67"/>
      <c r="S8" s="67"/>
      <c r="T8" s="301"/>
      <c r="U8" s="61">
        <v>2011</v>
      </c>
      <c r="V8" s="258"/>
      <c r="W8" s="258"/>
      <c r="X8" s="291">
        <v>2022</v>
      </c>
      <c r="Y8" s="66"/>
      <c r="Z8" s="69"/>
      <c r="AA8" s="278">
        <v>2015</v>
      </c>
      <c r="AB8" s="279">
        <v>2009</v>
      </c>
      <c r="AC8" s="61">
        <v>2024</v>
      </c>
      <c r="AD8" s="53">
        <v>2016</v>
      </c>
      <c r="AE8" s="247"/>
      <c r="AF8" s="247"/>
      <c r="AG8" s="3" t="s">
        <v>42</v>
      </c>
    </row>
    <row r="9" spans="1:33" x14ac:dyDescent="0.25">
      <c r="A9" s="20" t="s">
        <v>43</v>
      </c>
      <c r="B9" s="66"/>
      <c r="C9" s="292">
        <v>2019</v>
      </c>
      <c r="D9" s="67"/>
      <c r="E9" s="279">
        <v>2019</v>
      </c>
      <c r="F9" s="250"/>
      <c r="G9" s="251"/>
      <c r="H9" s="52">
        <v>2023</v>
      </c>
      <c r="I9" s="271"/>
      <c r="J9" s="271"/>
      <c r="K9" s="294">
        <v>2023</v>
      </c>
      <c r="L9" s="67"/>
      <c r="M9" s="66"/>
      <c r="N9" s="68"/>
      <c r="O9" s="73"/>
      <c r="P9" s="61">
        <v>2019</v>
      </c>
      <c r="Q9" s="274"/>
      <c r="R9" s="67"/>
      <c r="S9" s="67"/>
      <c r="T9" s="301"/>
      <c r="U9" s="278">
        <v>2024</v>
      </c>
      <c r="V9" s="258"/>
      <c r="W9" s="258"/>
      <c r="X9" s="291">
        <v>2023</v>
      </c>
      <c r="Y9" s="66"/>
      <c r="Z9" s="69"/>
      <c r="AA9" s="278">
        <v>2023</v>
      </c>
      <c r="AB9" s="279">
        <v>2023</v>
      </c>
      <c r="AC9" s="59">
        <v>2024</v>
      </c>
      <c r="AD9" s="71">
        <v>2024</v>
      </c>
      <c r="AE9" s="247"/>
      <c r="AF9" s="247"/>
      <c r="AG9" s="3" t="s">
        <v>42</v>
      </c>
    </row>
    <row r="10" spans="1:33" x14ac:dyDescent="0.25">
      <c r="A10" s="20" t="s">
        <v>44</v>
      </c>
      <c r="B10" s="66"/>
      <c r="C10" s="71">
        <v>2019</v>
      </c>
      <c r="D10" s="67"/>
      <c r="E10" s="60">
        <v>2019</v>
      </c>
      <c r="F10" s="250"/>
      <c r="G10" s="251"/>
      <c r="H10" s="52">
        <v>2023</v>
      </c>
      <c r="I10" s="271"/>
      <c r="J10" s="271"/>
      <c r="K10" s="294">
        <v>2023</v>
      </c>
      <c r="L10" s="67"/>
      <c r="M10" s="66"/>
      <c r="N10" s="68"/>
      <c r="O10" s="73"/>
      <c r="P10" s="252"/>
      <c r="Q10" s="274"/>
      <c r="R10" s="67"/>
      <c r="S10" s="67"/>
      <c r="T10" s="301"/>
      <c r="U10" s="59">
        <v>2024</v>
      </c>
      <c r="V10" s="68"/>
      <c r="W10" s="68"/>
      <c r="X10" s="291">
        <v>2023</v>
      </c>
      <c r="Y10" s="66"/>
      <c r="Z10" s="69"/>
      <c r="AA10" s="278">
        <v>2023</v>
      </c>
      <c r="AB10" s="279">
        <v>2023</v>
      </c>
      <c r="AC10" s="59">
        <v>2024</v>
      </c>
      <c r="AD10" s="71">
        <v>2024</v>
      </c>
      <c r="AE10" s="247"/>
      <c r="AF10" s="247"/>
      <c r="AG10" s="3" t="s">
        <v>45</v>
      </c>
    </row>
    <row r="11" spans="1:33" x14ac:dyDescent="0.25">
      <c r="A11" s="20" t="s">
        <v>46</v>
      </c>
      <c r="B11" s="66"/>
      <c r="C11" s="292">
        <v>2019</v>
      </c>
      <c r="D11" s="67"/>
      <c r="E11" s="279">
        <v>2019</v>
      </c>
      <c r="F11" s="250"/>
      <c r="G11" s="251"/>
      <c r="H11" s="52">
        <v>2023</v>
      </c>
      <c r="I11" s="271"/>
      <c r="J11" s="271"/>
      <c r="K11" s="294">
        <v>2023</v>
      </c>
      <c r="L11" s="67"/>
      <c r="M11" s="66"/>
      <c r="N11" s="68"/>
      <c r="O11" s="73"/>
      <c r="P11" s="61">
        <v>2019</v>
      </c>
      <c r="Q11" s="274"/>
      <c r="R11" s="67"/>
      <c r="S11" s="67"/>
      <c r="T11" s="301"/>
      <c r="U11" s="59">
        <v>2024</v>
      </c>
      <c r="V11" s="68"/>
      <c r="W11" s="68"/>
      <c r="X11" s="291">
        <v>2023</v>
      </c>
      <c r="Y11" s="66"/>
      <c r="Z11" s="69"/>
      <c r="AA11" s="278">
        <v>2023</v>
      </c>
      <c r="AB11" s="279">
        <v>2023</v>
      </c>
      <c r="AC11" s="59">
        <v>2024</v>
      </c>
      <c r="AD11" s="71">
        <v>2024</v>
      </c>
      <c r="AE11" s="247"/>
      <c r="AF11" s="247"/>
      <c r="AG11" s="3" t="s">
        <v>47</v>
      </c>
    </row>
    <row r="12" spans="1:33" x14ac:dyDescent="0.25">
      <c r="A12" s="20" t="s">
        <v>48</v>
      </c>
      <c r="B12" s="57">
        <v>2022</v>
      </c>
      <c r="C12" s="67"/>
      <c r="D12" s="71">
        <v>2022</v>
      </c>
      <c r="E12" s="69"/>
      <c r="F12" s="285">
        <v>2024</v>
      </c>
      <c r="G12" s="286">
        <v>2024</v>
      </c>
      <c r="H12" s="66"/>
      <c r="I12" s="261">
        <v>2024</v>
      </c>
      <c r="J12" s="261">
        <v>2024</v>
      </c>
      <c r="K12" s="149"/>
      <c r="L12" s="62">
        <v>2024</v>
      </c>
      <c r="M12" s="283">
        <v>2023</v>
      </c>
      <c r="N12" s="292">
        <v>2023</v>
      </c>
      <c r="O12" s="284">
        <v>2023</v>
      </c>
      <c r="P12" s="72"/>
      <c r="Q12" s="275">
        <v>2024</v>
      </c>
      <c r="R12" s="291">
        <v>2023</v>
      </c>
      <c r="S12" s="62">
        <v>2023</v>
      </c>
      <c r="T12" s="302">
        <v>2023</v>
      </c>
      <c r="U12" s="72"/>
      <c r="V12" s="53">
        <v>2024</v>
      </c>
      <c r="W12" s="53">
        <v>2024</v>
      </c>
      <c r="X12" s="67"/>
      <c r="Y12" s="52">
        <v>2022</v>
      </c>
      <c r="Z12" s="52">
        <v>2023</v>
      </c>
      <c r="AA12" s="280"/>
      <c r="AB12" s="281"/>
      <c r="AC12" s="72"/>
      <c r="AD12" s="68"/>
      <c r="AE12" s="246">
        <v>2024</v>
      </c>
      <c r="AF12" s="246">
        <v>2024</v>
      </c>
      <c r="AG12" s="3" t="s">
        <v>49</v>
      </c>
    </row>
    <row r="13" spans="1:33" x14ac:dyDescent="0.25">
      <c r="A13" s="20" t="s">
        <v>50</v>
      </c>
      <c r="B13" s="57">
        <v>2022</v>
      </c>
      <c r="C13" s="53">
        <v>2019</v>
      </c>
      <c r="D13" s="58">
        <v>2022</v>
      </c>
      <c r="E13" s="50">
        <v>2019</v>
      </c>
      <c r="F13" s="252">
        <v>2024</v>
      </c>
      <c r="G13" s="50">
        <v>2024</v>
      </c>
      <c r="H13" s="52">
        <v>2023</v>
      </c>
      <c r="I13" s="53">
        <v>2024</v>
      </c>
      <c r="J13" s="53">
        <v>2024</v>
      </c>
      <c r="K13" s="145">
        <v>2023</v>
      </c>
      <c r="L13" s="308">
        <v>2024</v>
      </c>
      <c r="M13" s="283">
        <v>2022</v>
      </c>
      <c r="N13" s="53">
        <v>2023</v>
      </c>
      <c r="O13" s="284">
        <v>2022</v>
      </c>
      <c r="P13" s="252">
        <v>2017</v>
      </c>
      <c r="Q13" s="64">
        <v>2024</v>
      </c>
      <c r="R13" s="62">
        <v>2020</v>
      </c>
      <c r="S13" s="62">
        <v>2023</v>
      </c>
      <c r="T13" s="300">
        <v>2022</v>
      </c>
      <c r="U13" s="252">
        <v>2024</v>
      </c>
      <c r="V13" s="53">
        <v>2024</v>
      </c>
      <c r="W13" s="53">
        <v>2023</v>
      </c>
      <c r="X13" s="291">
        <v>2022</v>
      </c>
      <c r="Y13" s="52">
        <v>2022</v>
      </c>
      <c r="Z13" s="50">
        <v>2022</v>
      </c>
      <c r="AA13" s="278">
        <v>2023</v>
      </c>
      <c r="AB13" s="60">
        <v>2020</v>
      </c>
      <c r="AC13" s="278">
        <v>2021</v>
      </c>
      <c r="AD13" s="292">
        <v>2016</v>
      </c>
      <c r="AE13" s="246">
        <v>2024</v>
      </c>
      <c r="AF13" s="246">
        <v>2024</v>
      </c>
      <c r="AG13" s="3" t="s">
        <v>51</v>
      </c>
    </row>
    <row r="14" spans="1:33" x14ac:dyDescent="0.25">
      <c r="A14" s="20" t="s">
        <v>52</v>
      </c>
      <c r="B14" s="57">
        <v>2022</v>
      </c>
      <c r="C14" s="53">
        <v>2019</v>
      </c>
      <c r="D14" s="58">
        <v>2022</v>
      </c>
      <c r="E14" s="50">
        <v>2019</v>
      </c>
      <c r="F14" s="313">
        <v>2024</v>
      </c>
      <c r="G14" s="287">
        <v>2024</v>
      </c>
      <c r="H14" s="52">
        <v>2023</v>
      </c>
      <c r="I14" s="53">
        <v>2024</v>
      </c>
      <c r="J14" s="53">
        <v>2024</v>
      </c>
      <c r="K14" s="145">
        <v>2023</v>
      </c>
      <c r="L14" s="62">
        <v>2024</v>
      </c>
      <c r="M14" s="283">
        <v>2022</v>
      </c>
      <c r="N14" s="53">
        <v>2023</v>
      </c>
      <c r="O14" s="284">
        <v>2022</v>
      </c>
      <c r="P14" s="61">
        <v>2022</v>
      </c>
      <c r="Q14" s="64">
        <v>2024</v>
      </c>
      <c r="R14" s="62">
        <v>2022</v>
      </c>
      <c r="S14" s="62">
        <v>2023</v>
      </c>
      <c r="T14" s="300">
        <v>2023</v>
      </c>
      <c r="U14" s="252">
        <v>2024</v>
      </c>
      <c r="V14" s="309">
        <v>2024</v>
      </c>
      <c r="W14" s="53">
        <v>2023</v>
      </c>
      <c r="X14" s="291">
        <v>2022</v>
      </c>
      <c r="Y14" s="52">
        <v>2022</v>
      </c>
      <c r="Z14" s="50">
        <v>2022</v>
      </c>
      <c r="AA14" s="278">
        <v>2023</v>
      </c>
      <c r="AB14" s="279">
        <v>2023</v>
      </c>
      <c r="AC14" s="278">
        <v>2021</v>
      </c>
      <c r="AD14" s="259">
        <v>2024</v>
      </c>
      <c r="AE14" s="246">
        <v>2024</v>
      </c>
      <c r="AF14" s="246">
        <v>2024</v>
      </c>
      <c r="AG14" s="3" t="s">
        <v>51</v>
      </c>
    </row>
    <row r="15" spans="1:33" x14ac:dyDescent="0.25">
      <c r="A15" s="20" t="s">
        <v>53</v>
      </c>
      <c r="B15" s="57">
        <v>2022</v>
      </c>
      <c r="C15" s="53">
        <v>2019</v>
      </c>
      <c r="D15" s="58">
        <v>2022</v>
      </c>
      <c r="E15" s="50">
        <v>2019</v>
      </c>
      <c r="F15" s="61">
        <v>2024</v>
      </c>
      <c r="G15" s="287">
        <v>2024</v>
      </c>
      <c r="H15" s="52">
        <v>2017</v>
      </c>
      <c r="I15" s="53">
        <v>2024</v>
      </c>
      <c r="J15" s="53">
        <v>2024</v>
      </c>
      <c r="K15" s="145">
        <v>2019</v>
      </c>
      <c r="L15" s="62">
        <v>2024</v>
      </c>
      <c r="M15" s="283">
        <v>2022</v>
      </c>
      <c r="N15" s="53">
        <v>2023</v>
      </c>
      <c r="O15" s="284">
        <v>2022</v>
      </c>
      <c r="P15" s="61">
        <v>2021</v>
      </c>
      <c r="Q15" s="64">
        <v>2024</v>
      </c>
      <c r="R15" s="62">
        <v>2022</v>
      </c>
      <c r="S15" s="62">
        <v>2023</v>
      </c>
      <c r="T15" s="300">
        <v>2023</v>
      </c>
      <c r="U15" s="72"/>
      <c r="V15" s="53">
        <v>2024</v>
      </c>
      <c r="W15" s="53">
        <v>2023</v>
      </c>
      <c r="X15" s="291">
        <v>2022</v>
      </c>
      <c r="Y15" s="52">
        <v>2022</v>
      </c>
      <c r="Z15" s="50">
        <v>2023</v>
      </c>
      <c r="AA15" s="278">
        <v>2013</v>
      </c>
      <c r="AB15" s="279">
        <v>2009</v>
      </c>
      <c r="AC15" s="61">
        <v>2021</v>
      </c>
      <c r="AD15" s="53">
        <v>2016</v>
      </c>
      <c r="AE15" s="246">
        <v>2024</v>
      </c>
      <c r="AF15" s="246">
        <v>2024</v>
      </c>
      <c r="AG15" s="3" t="s">
        <v>42</v>
      </c>
    </row>
    <row r="16" spans="1:33" x14ac:dyDescent="0.25">
      <c r="A16" s="20" t="s">
        <v>54</v>
      </c>
      <c r="B16" s="57">
        <v>2022</v>
      </c>
      <c r="C16" s="71">
        <v>2019</v>
      </c>
      <c r="D16" s="58">
        <v>2022</v>
      </c>
      <c r="E16" s="60">
        <v>2019</v>
      </c>
      <c r="F16" s="252">
        <v>2024</v>
      </c>
      <c r="G16" s="60">
        <v>2024</v>
      </c>
      <c r="H16" s="57">
        <v>2024</v>
      </c>
      <c r="I16" s="71">
        <v>2024</v>
      </c>
      <c r="J16" s="71">
        <v>2024</v>
      </c>
      <c r="K16" s="150">
        <v>2024</v>
      </c>
      <c r="L16" s="291">
        <v>2024</v>
      </c>
      <c r="M16" s="57">
        <v>2024</v>
      </c>
      <c r="N16" s="71">
        <v>2024</v>
      </c>
      <c r="O16" s="58">
        <v>2024</v>
      </c>
      <c r="P16" s="252">
        <v>2023</v>
      </c>
      <c r="Q16" s="64">
        <v>2024</v>
      </c>
      <c r="R16" s="70">
        <v>2023</v>
      </c>
      <c r="S16" s="70">
        <v>2023</v>
      </c>
      <c r="T16" s="303">
        <v>2024</v>
      </c>
      <c r="U16" s="59">
        <v>2024</v>
      </c>
      <c r="V16" s="71">
        <v>2024</v>
      </c>
      <c r="W16" s="71">
        <v>2024</v>
      </c>
      <c r="X16" s="70">
        <v>2024</v>
      </c>
      <c r="Y16" s="57">
        <v>2024</v>
      </c>
      <c r="Z16" s="60">
        <v>2024</v>
      </c>
      <c r="AA16" s="59">
        <v>2023</v>
      </c>
      <c r="AB16" s="60">
        <v>2023</v>
      </c>
      <c r="AC16" s="59">
        <v>2024</v>
      </c>
      <c r="AD16" s="71">
        <v>2024</v>
      </c>
      <c r="AE16" s="293">
        <v>2024</v>
      </c>
      <c r="AF16" s="246">
        <v>2024</v>
      </c>
      <c r="AG16" s="3" t="s">
        <v>55</v>
      </c>
    </row>
    <row r="17" spans="1:33" x14ac:dyDescent="0.25">
      <c r="A17" s="20" t="s">
        <v>56</v>
      </c>
      <c r="B17" s="57">
        <v>2022</v>
      </c>
      <c r="C17" s="71">
        <v>2019</v>
      </c>
      <c r="D17" s="58">
        <v>2022</v>
      </c>
      <c r="E17" s="60">
        <v>2019</v>
      </c>
      <c r="F17" s="252">
        <v>2024</v>
      </c>
      <c r="G17" s="60">
        <v>2024</v>
      </c>
      <c r="H17" s="57">
        <v>2024</v>
      </c>
      <c r="I17" s="272"/>
      <c r="J17" s="272"/>
      <c r="K17" s="150">
        <v>2024</v>
      </c>
      <c r="L17" s="291">
        <v>2024</v>
      </c>
      <c r="M17" s="57">
        <v>2024</v>
      </c>
      <c r="N17" s="71">
        <v>2024</v>
      </c>
      <c r="O17" s="58">
        <v>2024</v>
      </c>
      <c r="P17" s="252">
        <v>2023</v>
      </c>
      <c r="Q17" s="64">
        <v>2024</v>
      </c>
      <c r="R17" s="70">
        <v>2023</v>
      </c>
      <c r="S17" s="67"/>
      <c r="T17" s="303">
        <v>2024</v>
      </c>
      <c r="U17" s="72"/>
      <c r="V17" s="71">
        <v>2024</v>
      </c>
      <c r="W17" s="71">
        <v>2024</v>
      </c>
      <c r="X17" s="70">
        <v>2024</v>
      </c>
      <c r="Y17" s="66"/>
      <c r="Z17" s="60">
        <v>2024</v>
      </c>
      <c r="AA17" s="59">
        <v>2023</v>
      </c>
      <c r="AB17" s="60">
        <v>2023</v>
      </c>
      <c r="AC17" s="59">
        <v>2024</v>
      </c>
      <c r="AD17" s="71">
        <v>2024</v>
      </c>
      <c r="AE17" s="293">
        <v>2024</v>
      </c>
      <c r="AF17" s="246">
        <v>2024</v>
      </c>
      <c r="AG17" s="3" t="s">
        <v>55</v>
      </c>
    </row>
    <row r="18" spans="1:33" x14ac:dyDescent="0.25">
      <c r="A18" s="20" t="s">
        <v>57</v>
      </c>
      <c r="B18" s="57">
        <v>2022</v>
      </c>
      <c r="C18" s="53">
        <v>2019</v>
      </c>
      <c r="D18" s="58">
        <v>2022</v>
      </c>
      <c r="E18" s="74"/>
      <c r="F18" s="252" t="s">
        <v>63</v>
      </c>
      <c r="G18" s="288" t="s">
        <v>59</v>
      </c>
      <c r="H18" s="283"/>
      <c r="I18" s="271"/>
      <c r="J18" s="271"/>
      <c r="K18" s="307">
        <v>2023</v>
      </c>
      <c r="L18" s="308" t="s">
        <v>180</v>
      </c>
      <c r="M18" s="266">
        <v>2024</v>
      </c>
      <c r="N18" s="53">
        <v>2023</v>
      </c>
      <c r="O18" s="64">
        <v>2022</v>
      </c>
      <c r="P18" s="61">
        <v>2023</v>
      </c>
      <c r="Q18" s="64">
        <v>2024</v>
      </c>
      <c r="R18" s="308" t="s">
        <v>62</v>
      </c>
      <c r="S18" s="67"/>
      <c r="T18" s="300" t="s">
        <v>63</v>
      </c>
      <c r="U18" s="72"/>
      <c r="V18" s="259">
        <v>2024</v>
      </c>
      <c r="W18" s="310">
        <v>2024</v>
      </c>
      <c r="X18" s="62">
        <v>2021</v>
      </c>
      <c r="Y18" s="66"/>
      <c r="Z18" s="50">
        <v>2022</v>
      </c>
      <c r="AA18" s="59"/>
      <c r="AB18" s="279" t="s">
        <v>65</v>
      </c>
      <c r="AC18" s="61" t="s">
        <v>66</v>
      </c>
      <c r="AD18" s="53"/>
      <c r="AE18" s="246">
        <v>2024</v>
      </c>
      <c r="AF18" s="246">
        <v>2024</v>
      </c>
      <c r="AG18" s="3" t="s">
        <v>67</v>
      </c>
    </row>
    <row r="19" spans="1:33" x14ac:dyDescent="0.25">
      <c r="A19" s="20" t="s">
        <v>491</v>
      </c>
      <c r="B19" s="66"/>
      <c r="C19" s="68"/>
      <c r="D19" s="73"/>
      <c r="E19" s="69"/>
      <c r="F19" s="72"/>
      <c r="G19" s="69"/>
      <c r="H19" s="66"/>
      <c r="I19" s="68"/>
      <c r="J19" s="68"/>
      <c r="K19" s="149"/>
      <c r="L19" s="67"/>
      <c r="M19" s="267"/>
      <c r="N19" s="68"/>
      <c r="O19" s="73"/>
      <c r="P19" s="72"/>
      <c r="Q19" s="73"/>
      <c r="R19" s="67"/>
      <c r="S19" s="67"/>
      <c r="T19" s="301"/>
      <c r="U19" s="72"/>
      <c r="V19" s="68"/>
      <c r="W19" s="68"/>
      <c r="X19" s="67"/>
      <c r="Y19" s="66"/>
      <c r="Z19" s="69"/>
      <c r="AA19" s="280"/>
      <c r="AB19" s="281"/>
      <c r="AC19" s="72"/>
      <c r="AD19" s="68"/>
      <c r="AE19" s="273"/>
      <c r="AF19" s="273"/>
    </row>
    <row r="20" spans="1:33" x14ac:dyDescent="0.25">
      <c r="A20" s="20" t="s">
        <v>69</v>
      </c>
      <c r="B20" s="57">
        <v>2022</v>
      </c>
      <c r="C20" s="71">
        <v>2019</v>
      </c>
      <c r="D20" s="58">
        <v>2022</v>
      </c>
      <c r="E20" s="75">
        <v>2016</v>
      </c>
      <c r="F20" s="252">
        <v>2024</v>
      </c>
      <c r="G20" s="253">
        <v>2024</v>
      </c>
      <c r="H20" s="78"/>
      <c r="I20" s="273"/>
      <c r="J20" s="273"/>
      <c r="K20" s="145">
        <v>2023</v>
      </c>
      <c r="L20" s="62">
        <v>2024</v>
      </c>
      <c r="M20" s="268">
        <v>2024</v>
      </c>
      <c r="N20" s="53">
        <v>2024</v>
      </c>
      <c r="O20" s="264">
        <v>2023</v>
      </c>
      <c r="P20" s="61">
        <v>2022</v>
      </c>
      <c r="Q20" s="64">
        <v>2024</v>
      </c>
      <c r="R20" s="62">
        <v>2023</v>
      </c>
      <c r="S20" s="67"/>
      <c r="T20" s="303">
        <v>2023</v>
      </c>
      <c r="U20" s="72"/>
      <c r="V20" s="309">
        <v>2024</v>
      </c>
      <c r="W20" s="53">
        <v>2023</v>
      </c>
      <c r="X20" s="263">
        <v>2023</v>
      </c>
      <c r="Y20" s="66"/>
      <c r="Z20" s="50">
        <v>2022</v>
      </c>
      <c r="AA20" s="278">
        <v>2023</v>
      </c>
      <c r="AB20" s="279">
        <v>2023</v>
      </c>
      <c r="AC20" s="61">
        <v>2024</v>
      </c>
      <c r="AD20" s="259">
        <v>2024</v>
      </c>
      <c r="AE20" s="246">
        <v>2024</v>
      </c>
      <c r="AF20" s="246">
        <v>2024</v>
      </c>
      <c r="AG20" s="3" t="s">
        <v>70</v>
      </c>
    </row>
    <row r="21" spans="1:33" x14ac:dyDescent="0.25">
      <c r="A21" s="20" t="s">
        <v>71</v>
      </c>
      <c r="B21" s="57">
        <v>2022</v>
      </c>
      <c r="C21" s="53">
        <v>2016</v>
      </c>
      <c r="D21" s="58">
        <v>2022</v>
      </c>
      <c r="E21" s="50">
        <v>2016</v>
      </c>
      <c r="F21" s="61">
        <v>2024</v>
      </c>
      <c r="G21" s="50">
        <v>2024</v>
      </c>
      <c r="H21" s="52">
        <v>2023</v>
      </c>
      <c r="I21" s="53">
        <v>2024</v>
      </c>
      <c r="J21" s="53">
        <v>2024</v>
      </c>
      <c r="K21" s="145">
        <v>2016</v>
      </c>
      <c r="L21" s="62">
        <v>2024</v>
      </c>
      <c r="M21" s="52">
        <v>2022</v>
      </c>
      <c r="N21" s="53">
        <v>2023</v>
      </c>
      <c r="O21" s="64">
        <v>2022</v>
      </c>
      <c r="P21" s="61">
        <v>2017</v>
      </c>
      <c r="Q21" s="64">
        <v>2024</v>
      </c>
      <c r="R21" s="62">
        <v>2020</v>
      </c>
      <c r="S21" s="62">
        <v>2023</v>
      </c>
      <c r="T21" s="300">
        <v>2023</v>
      </c>
      <c r="U21" s="72"/>
      <c r="V21" s="53">
        <v>2023</v>
      </c>
      <c r="W21" s="53">
        <v>2023</v>
      </c>
      <c r="X21" s="62">
        <v>2024</v>
      </c>
      <c r="Y21" s="52">
        <v>2022</v>
      </c>
      <c r="Z21" s="50">
        <v>2022</v>
      </c>
      <c r="AA21" s="278">
        <v>2015</v>
      </c>
      <c r="AB21" s="279">
        <v>2009</v>
      </c>
      <c r="AC21" s="61">
        <v>2016</v>
      </c>
      <c r="AD21" s="53">
        <v>2017</v>
      </c>
      <c r="AE21" s="246">
        <v>2024</v>
      </c>
      <c r="AF21" s="246">
        <v>2024</v>
      </c>
      <c r="AG21" s="3" t="s">
        <v>42</v>
      </c>
    </row>
    <row r="22" spans="1:33" x14ac:dyDescent="0.25">
      <c r="A22" s="20" t="s">
        <v>72</v>
      </c>
      <c r="B22" s="57">
        <v>2022</v>
      </c>
      <c r="C22" s="53">
        <v>2016</v>
      </c>
      <c r="D22" s="58">
        <v>2022</v>
      </c>
      <c r="E22" s="50">
        <v>2016</v>
      </c>
      <c r="F22" s="61">
        <v>2024</v>
      </c>
      <c r="G22" s="50">
        <v>2024</v>
      </c>
      <c r="H22" s="52">
        <v>2009</v>
      </c>
      <c r="I22" s="53">
        <v>2024</v>
      </c>
      <c r="J22" s="53">
        <v>2024</v>
      </c>
      <c r="K22" s="145">
        <v>2016</v>
      </c>
      <c r="L22" s="62">
        <v>2024</v>
      </c>
      <c r="M22" s="52">
        <v>2022</v>
      </c>
      <c r="N22" s="53">
        <v>2023</v>
      </c>
      <c r="O22" s="64">
        <v>2022</v>
      </c>
      <c r="P22" s="61">
        <v>2017</v>
      </c>
      <c r="Q22" s="64">
        <v>2024</v>
      </c>
      <c r="R22" s="62">
        <v>2020</v>
      </c>
      <c r="S22" s="62">
        <v>2023</v>
      </c>
      <c r="T22" s="300">
        <v>2014</v>
      </c>
      <c r="U22" s="61">
        <v>2011</v>
      </c>
      <c r="V22" s="53">
        <v>2023</v>
      </c>
      <c r="W22" s="53">
        <v>2023</v>
      </c>
      <c r="X22" s="62">
        <v>2022</v>
      </c>
      <c r="Y22" s="52">
        <v>2022</v>
      </c>
      <c r="Z22" s="50">
        <v>2022</v>
      </c>
      <c r="AA22" s="278">
        <v>2015</v>
      </c>
      <c r="AB22" s="279">
        <v>2009</v>
      </c>
      <c r="AC22" s="61">
        <v>2016</v>
      </c>
      <c r="AD22" s="53">
        <v>2017</v>
      </c>
      <c r="AE22" s="246">
        <v>2024</v>
      </c>
      <c r="AF22" s="246">
        <v>2024</v>
      </c>
      <c r="AG22" s="3" t="s">
        <v>42</v>
      </c>
    </row>
    <row r="23" spans="1:33" x14ac:dyDescent="0.25">
      <c r="A23" s="20" t="s">
        <v>73</v>
      </c>
      <c r="B23" s="66"/>
      <c r="C23" s="53">
        <v>2006</v>
      </c>
      <c r="D23" s="73"/>
      <c r="E23" s="50">
        <v>2016</v>
      </c>
      <c r="F23" s="254"/>
      <c r="G23" s="255"/>
      <c r="H23" s="52">
        <v>2023</v>
      </c>
      <c r="I23" s="53">
        <v>2024</v>
      </c>
      <c r="J23" s="53">
        <v>2024</v>
      </c>
      <c r="K23" s="145">
        <v>2016</v>
      </c>
      <c r="L23" s="244"/>
      <c r="M23" s="66"/>
      <c r="N23" s="68"/>
      <c r="O23" s="73"/>
      <c r="P23" s="61">
        <v>2017</v>
      </c>
      <c r="Q23" s="276"/>
      <c r="R23" s="67"/>
      <c r="S23" s="67"/>
      <c r="T23" s="301"/>
      <c r="U23" s="61">
        <v>2011</v>
      </c>
      <c r="V23" s="68"/>
      <c r="W23" s="68"/>
      <c r="X23" s="62">
        <v>2024</v>
      </c>
      <c r="Y23" s="66"/>
      <c r="Z23" s="69"/>
      <c r="AA23" s="278">
        <v>2015</v>
      </c>
      <c r="AB23" s="279">
        <v>2009</v>
      </c>
      <c r="AC23" s="249">
        <v>2024</v>
      </c>
      <c r="AD23" s="53">
        <v>2017</v>
      </c>
      <c r="AE23" s="247"/>
      <c r="AF23" s="247"/>
      <c r="AG23" s="3" t="s">
        <v>42</v>
      </c>
    </row>
    <row r="24" spans="1:33" x14ac:dyDescent="0.25">
      <c r="A24" s="20" t="s">
        <v>74</v>
      </c>
      <c r="B24" s="57">
        <v>2022</v>
      </c>
      <c r="C24" s="53">
        <v>2016</v>
      </c>
      <c r="D24" s="58">
        <v>2022</v>
      </c>
      <c r="E24" s="50">
        <v>2016</v>
      </c>
      <c r="F24" s="61">
        <v>2024</v>
      </c>
      <c r="G24" s="50">
        <v>2024</v>
      </c>
      <c r="H24" s="52">
        <v>2009</v>
      </c>
      <c r="I24" s="53">
        <v>2024</v>
      </c>
      <c r="J24" s="53">
        <v>2024</v>
      </c>
      <c r="K24" s="145">
        <v>2016</v>
      </c>
      <c r="L24" s="62">
        <v>2024</v>
      </c>
      <c r="M24" s="52">
        <v>2022</v>
      </c>
      <c r="N24" s="53">
        <v>2023</v>
      </c>
      <c r="O24" s="64">
        <v>2019</v>
      </c>
      <c r="P24" s="61">
        <v>2017</v>
      </c>
      <c r="Q24" s="64">
        <v>2024</v>
      </c>
      <c r="R24" s="62">
        <v>2020</v>
      </c>
      <c r="S24" s="62">
        <v>2023</v>
      </c>
      <c r="T24" s="300">
        <v>2014</v>
      </c>
      <c r="U24" s="61">
        <v>2011</v>
      </c>
      <c r="V24" s="53">
        <v>2023</v>
      </c>
      <c r="W24" s="53">
        <v>2023</v>
      </c>
      <c r="X24" s="62">
        <v>2014</v>
      </c>
      <c r="Y24" s="52">
        <v>2022</v>
      </c>
      <c r="Z24" s="50">
        <v>2022</v>
      </c>
      <c r="AA24" s="278">
        <v>2015</v>
      </c>
      <c r="AB24" s="279">
        <v>2009</v>
      </c>
      <c r="AC24" s="61">
        <v>2024</v>
      </c>
      <c r="AD24" s="53">
        <v>2017</v>
      </c>
      <c r="AE24" s="246">
        <v>2024</v>
      </c>
      <c r="AF24" s="246">
        <v>2024</v>
      </c>
      <c r="AG24" s="3" t="s">
        <v>42</v>
      </c>
    </row>
    <row r="25" spans="1:33" x14ac:dyDescent="0.25">
      <c r="A25" s="20" t="s">
        <v>75</v>
      </c>
      <c r="B25" s="57">
        <v>2022</v>
      </c>
      <c r="C25" s="53">
        <v>2019</v>
      </c>
      <c r="D25" s="58"/>
      <c r="E25" s="50">
        <v>2019</v>
      </c>
      <c r="F25" s="61">
        <v>2024</v>
      </c>
      <c r="G25" s="50">
        <v>2024</v>
      </c>
      <c r="H25" s="270">
        <v>2024</v>
      </c>
      <c r="I25" s="246">
        <v>2024</v>
      </c>
      <c r="J25" s="246">
        <v>2024</v>
      </c>
      <c r="K25" s="294">
        <v>2017</v>
      </c>
      <c r="L25" s="62">
        <v>2024</v>
      </c>
      <c r="M25" s="52">
        <v>2022</v>
      </c>
      <c r="N25" s="53">
        <v>2023</v>
      </c>
      <c r="O25" s="64">
        <v>2022</v>
      </c>
      <c r="P25" s="61">
        <v>2017</v>
      </c>
      <c r="Q25" s="264"/>
      <c r="R25" s="62">
        <v>2020</v>
      </c>
      <c r="S25" s="62">
        <v>2023</v>
      </c>
      <c r="T25" s="304">
        <v>2024</v>
      </c>
      <c r="U25" s="61">
        <v>2017</v>
      </c>
      <c r="V25" s="53">
        <v>2023</v>
      </c>
      <c r="W25" s="53">
        <v>2023</v>
      </c>
      <c r="X25" s="62">
        <v>2022</v>
      </c>
      <c r="Y25" s="52">
        <v>2022</v>
      </c>
      <c r="Z25" s="50">
        <v>2022</v>
      </c>
      <c r="AA25" s="278">
        <v>2023</v>
      </c>
      <c r="AB25" s="279">
        <v>2023</v>
      </c>
      <c r="AC25" s="61">
        <v>2019</v>
      </c>
      <c r="AD25" s="53">
        <v>2024</v>
      </c>
      <c r="AE25" s="246">
        <v>2024</v>
      </c>
      <c r="AF25" s="246">
        <v>2024</v>
      </c>
      <c r="AG25" s="3" t="s">
        <v>76</v>
      </c>
    </row>
    <row r="26" spans="1:33" x14ac:dyDescent="0.25">
      <c r="A26" s="20" t="s">
        <v>77</v>
      </c>
      <c r="B26" s="66"/>
      <c r="C26" s="68"/>
      <c r="D26" s="73"/>
      <c r="E26" s="69"/>
      <c r="F26" s="72"/>
      <c r="G26" s="69"/>
      <c r="H26" s="66"/>
      <c r="I26" s="68"/>
      <c r="J26" s="68"/>
      <c r="K26" s="149"/>
      <c r="L26" s="291">
        <v>2024</v>
      </c>
      <c r="M26" s="66"/>
      <c r="N26" s="68"/>
      <c r="O26" s="119">
        <v>2023</v>
      </c>
      <c r="P26" s="72"/>
      <c r="Q26" s="73"/>
      <c r="R26" s="67"/>
      <c r="S26" s="67"/>
      <c r="T26" s="301"/>
      <c r="U26" s="72"/>
      <c r="V26" s="68"/>
      <c r="W26" s="68"/>
      <c r="X26" s="62">
        <v>2023</v>
      </c>
      <c r="Y26" s="66"/>
      <c r="Z26" s="69"/>
      <c r="AA26" s="280"/>
      <c r="AB26" s="281"/>
      <c r="AC26" s="72"/>
      <c r="AD26" s="68"/>
      <c r="AE26" s="246">
        <v>2024</v>
      </c>
      <c r="AF26" s="247"/>
      <c r="AG26" s="3" t="s">
        <v>76</v>
      </c>
    </row>
    <row r="27" spans="1:33" x14ac:dyDescent="0.25">
      <c r="A27" s="20" t="s">
        <v>78</v>
      </c>
      <c r="B27" s="57">
        <v>2022</v>
      </c>
      <c r="C27" s="53">
        <v>2016</v>
      </c>
      <c r="D27" s="58">
        <v>2022</v>
      </c>
      <c r="E27" s="50">
        <v>2016</v>
      </c>
      <c r="F27" s="61">
        <v>2024</v>
      </c>
      <c r="G27" s="50">
        <v>2024</v>
      </c>
      <c r="H27" s="52">
        <v>2009</v>
      </c>
      <c r="I27" s="53">
        <v>2024</v>
      </c>
      <c r="J27" s="53">
        <v>2024</v>
      </c>
      <c r="K27" s="294">
        <v>2011</v>
      </c>
      <c r="L27" s="308">
        <v>2024</v>
      </c>
      <c r="M27" s="269">
        <v>2022</v>
      </c>
      <c r="N27" s="53">
        <v>2023</v>
      </c>
      <c r="O27" s="64">
        <v>2022</v>
      </c>
      <c r="P27" s="61">
        <v>2017</v>
      </c>
      <c r="Q27" s="264"/>
      <c r="R27" s="62">
        <v>2023</v>
      </c>
      <c r="S27" s="62">
        <v>2023</v>
      </c>
      <c r="T27" s="300">
        <v>2024</v>
      </c>
      <c r="U27" s="61">
        <v>2008</v>
      </c>
      <c r="V27" s="53">
        <v>2024</v>
      </c>
      <c r="W27" s="53">
        <v>2023</v>
      </c>
      <c r="X27" s="62">
        <v>2025</v>
      </c>
      <c r="Y27" s="52">
        <v>2022</v>
      </c>
      <c r="Z27" s="50">
        <v>2022</v>
      </c>
      <c r="AA27" s="278">
        <v>2015</v>
      </c>
      <c r="AB27" s="279">
        <v>2009</v>
      </c>
      <c r="AC27" s="61">
        <v>2019</v>
      </c>
      <c r="AD27" s="53">
        <v>2017</v>
      </c>
      <c r="AE27" s="246">
        <v>2024</v>
      </c>
      <c r="AF27" s="246">
        <v>2024</v>
      </c>
      <c r="AG27" s="3" t="s">
        <v>42</v>
      </c>
    </row>
    <row r="28" spans="1:33" x14ac:dyDescent="0.25">
      <c r="A28" s="20" t="s">
        <v>79</v>
      </c>
      <c r="B28" s="57">
        <v>1</v>
      </c>
      <c r="C28" s="82"/>
      <c r="D28" s="58">
        <v>1</v>
      </c>
      <c r="E28" s="83"/>
      <c r="F28" s="84"/>
      <c r="G28" s="83"/>
      <c r="H28" s="87"/>
      <c r="I28" s="82"/>
      <c r="J28" s="82"/>
      <c r="K28" s="100"/>
      <c r="L28" s="85"/>
      <c r="M28" s="84"/>
      <c r="N28" s="85"/>
      <c r="O28" s="85"/>
      <c r="P28" s="84"/>
      <c r="Q28" s="89"/>
      <c r="R28" s="85"/>
      <c r="S28" s="85"/>
      <c r="T28" s="305"/>
      <c r="U28" s="84"/>
      <c r="V28" s="82"/>
      <c r="W28" s="82"/>
      <c r="X28" s="86"/>
      <c r="Y28" s="90"/>
      <c r="Z28" s="91"/>
      <c r="AA28" s="84"/>
      <c r="AB28" s="83"/>
      <c r="AC28" s="84"/>
      <c r="AD28" s="89"/>
      <c r="AE28" s="82"/>
      <c r="AF28" s="82"/>
    </row>
    <row r="29" spans="1:33" x14ac:dyDescent="0.25">
      <c r="A29" s="20" t="s">
        <v>80</v>
      </c>
      <c r="B29" s="57">
        <v>1</v>
      </c>
      <c r="C29" s="82"/>
      <c r="D29" s="58">
        <v>1</v>
      </c>
      <c r="E29" s="83"/>
      <c r="F29" s="84"/>
      <c r="G29" s="83"/>
      <c r="H29" s="87"/>
      <c r="I29" s="82"/>
      <c r="J29" s="82"/>
      <c r="K29" s="100"/>
      <c r="L29" s="85"/>
      <c r="M29" s="87"/>
      <c r="N29" s="85"/>
      <c r="O29" s="85"/>
      <c r="P29" s="84"/>
      <c r="Q29" s="89"/>
      <c r="R29" s="85"/>
      <c r="S29" s="85"/>
      <c r="T29" s="305"/>
      <c r="U29" s="84"/>
      <c r="V29" s="82"/>
      <c r="W29" s="82"/>
      <c r="X29" s="86"/>
      <c r="Y29" s="90"/>
      <c r="Z29" s="91"/>
      <c r="AA29" s="84"/>
      <c r="AB29" s="83"/>
      <c r="AC29" s="84"/>
      <c r="AD29" s="89"/>
      <c r="AE29" s="82"/>
      <c r="AF29" s="82"/>
      <c r="AG29" s="3" t="s">
        <v>42</v>
      </c>
    </row>
    <row r="30" spans="1:33" x14ac:dyDescent="0.25">
      <c r="A30" s="20" t="s">
        <v>81</v>
      </c>
      <c r="B30" s="57">
        <v>1</v>
      </c>
      <c r="C30" s="82"/>
      <c r="D30" s="58">
        <v>1</v>
      </c>
      <c r="E30" s="83"/>
      <c r="F30" s="84"/>
      <c r="G30" s="83"/>
      <c r="H30" s="90"/>
      <c r="I30" s="88"/>
      <c r="J30" s="88"/>
      <c r="K30" s="311" t="s">
        <v>495</v>
      </c>
      <c r="L30" s="312" t="s">
        <v>495</v>
      </c>
      <c r="M30" s="87"/>
      <c r="N30" s="85"/>
      <c r="O30" s="85"/>
      <c r="P30" s="84"/>
      <c r="Q30" s="89"/>
      <c r="R30" s="85"/>
      <c r="S30" s="85"/>
      <c r="T30" s="305"/>
      <c r="U30" s="84"/>
      <c r="V30" s="82"/>
      <c r="W30" s="82"/>
      <c r="X30" s="86"/>
      <c r="Y30" s="90"/>
      <c r="Z30" s="91"/>
      <c r="AA30" s="84"/>
      <c r="AB30" s="83"/>
      <c r="AC30" s="84"/>
      <c r="AD30" s="89"/>
      <c r="AE30" s="82"/>
      <c r="AF30" s="82"/>
    </row>
    <row r="31" spans="1:33" x14ac:dyDescent="0.25">
      <c r="A31" s="20" t="s">
        <v>492</v>
      </c>
      <c r="B31" s="87">
        <v>4</v>
      </c>
      <c r="C31" s="82">
        <v>4</v>
      </c>
      <c r="D31" s="89">
        <v>4</v>
      </c>
      <c r="E31" s="83">
        <v>4</v>
      </c>
      <c r="F31" s="84">
        <v>4</v>
      </c>
      <c r="G31" s="83">
        <v>4</v>
      </c>
      <c r="H31" s="87">
        <v>4</v>
      </c>
      <c r="I31" s="82">
        <v>0</v>
      </c>
      <c r="J31" s="82">
        <v>0</v>
      </c>
      <c r="K31" s="100">
        <v>4</v>
      </c>
      <c r="L31" s="85">
        <v>4</v>
      </c>
      <c r="M31" s="87">
        <v>4</v>
      </c>
      <c r="N31" s="85">
        <v>4</v>
      </c>
      <c r="O31" s="85">
        <v>4</v>
      </c>
      <c r="P31" s="84">
        <v>4</v>
      </c>
      <c r="Q31" s="89">
        <v>4</v>
      </c>
      <c r="R31" s="85">
        <v>4</v>
      </c>
      <c r="S31" s="85">
        <v>0</v>
      </c>
      <c r="T31" s="305">
        <v>4</v>
      </c>
      <c r="U31" s="84">
        <v>0</v>
      </c>
      <c r="V31" s="82">
        <v>4</v>
      </c>
      <c r="W31" s="82">
        <v>4</v>
      </c>
      <c r="X31" s="85">
        <v>4</v>
      </c>
      <c r="Y31" s="87"/>
      <c r="Z31" s="83"/>
      <c r="AA31" s="84">
        <v>4</v>
      </c>
      <c r="AB31" s="83">
        <v>4</v>
      </c>
      <c r="AC31" s="84">
        <v>4</v>
      </c>
      <c r="AD31" s="89">
        <v>4</v>
      </c>
      <c r="AE31" s="82"/>
      <c r="AF31" s="82"/>
    </row>
    <row r="32" spans="1:33" x14ac:dyDescent="0.25">
      <c r="A32" s="20" t="s">
        <v>83</v>
      </c>
      <c r="B32" s="87"/>
      <c r="C32" s="82"/>
      <c r="D32" s="89"/>
      <c r="E32" s="83"/>
      <c r="F32" s="84"/>
      <c r="G32" s="83"/>
      <c r="H32" s="2"/>
      <c r="I32" s="1"/>
      <c r="J32" s="1"/>
      <c r="K32" s="100"/>
      <c r="L32" s="85"/>
      <c r="M32" s="87"/>
      <c r="N32" s="85"/>
      <c r="O32" s="85"/>
      <c r="P32" s="84"/>
      <c r="Q32" s="89"/>
      <c r="R32" s="85"/>
      <c r="S32" s="85"/>
      <c r="T32" s="305"/>
      <c r="U32" s="84"/>
      <c r="V32" s="82"/>
      <c r="W32" s="82"/>
      <c r="X32" s="85"/>
      <c r="Y32" s="87"/>
      <c r="Z32" s="83"/>
      <c r="AA32" s="84"/>
      <c r="AB32" s="83"/>
      <c r="AC32" s="84"/>
      <c r="AD32" s="89"/>
      <c r="AE32" s="82"/>
      <c r="AF32" s="82"/>
    </row>
    <row r="33" spans="1:32" x14ac:dyDescent="0.25">
      <c r="A33" s="20" t="s">
        <v>84</v>
      </c>
      <c r="B33" s="87"/>
      <c r="C33" s="1"/>
      <c r="D33" s="1"/>
      <c r="E33" s="1"/>
      <c r="F33" s="84"/>
      <c r="G33" s="83"/>
      <c r="H33" s="94"/>
      <c r="I33" s="1"/>
      <c r="J33" s="1"/>
      <c r="K33" s="153"/>
      <c r="L33" s="95"/>
      <c r="M33" s="2"/>
      <c r="N33" s="1"/>
      <c r="O33" s="1"/>
      <c r="P33" s="84"/>
      <c r="Q33" s="82"/>
      <c r="R33" s="94"/>
      <c r="S33" s="1"/>
      <c r="T33" s="305"/>
      <c r="U33" s="1"/>
      <c r="V33" s="94"/>
      <c r="W33" s="1"/>
      <c r="X33" s="95"/>
      <c r="Y33" s="2"/>
      <c r="Z33" s="96"/>
      <c r="AA33" s="84"/>
      <c r="AB33" s="83"/>
      <c r="AC33" s="1"/>
      <c r="AD33" s="94"/>
      <c r="AE33" s="1"/>
      <c r="AF33" s="1"/>
    </row>
    <row r="34" spans="1:32" x14ac:dyDescent="0.25">
      <c r="A34" s="20" t="s">
        <v>85</v>
      </c>
      <c r="B34" s="87"/>
      <c r="C34" s="1"/>
      <c r="D34" s="1"/>
      <c r="E34" s="1"/>
      <c r="F34" s="84"/>
      <c r="G34" s="83"/>
      <c r="H34" s="94"/>
      <c r="I34" s="1"/>
      <c r="J34" s="1"/>
      <c r="K34" s="153"/>
      <c r="L34" s="95"/>
      <c r="M34" s="2"/>
      <c r="N34" s="1"/>
      <c r="O34" s="1"/>
      <c r="P34" s="84"/>
      <c r="Q34" s="82"/>
      <c r="R34" s="94"/>
      <c r="S34" s="1"/>
      <c r="T34" s="305"/>
      <c r="U34" s="1"/>
      <c r="V34" s="94"/>
      <c r="W34" s="1"/>
      <c r="X34" s="95"/>
      <c r="Y34" s="2"/>
      <c r="Z34" s="96"/>
      <c r="AA34" s="84"/>
      <c r="AB34" s="83"/>
      <c r="AC34" s="1"/>
      <c r="AD34" s="94"/>
      <c r="AE34" s="1"/>
      <c r="AF34" s="1"/>
    </row>
    <row r="35" spans="1:32" x14ac:dyDescent="0.25">
      <c r="A35" s="20" t="s">
        <v>86</v>
      </c>
      <c r="B35" s="87"/>
      <c r="C35" s="1"/>
      <c r="D35" s="1"/>
      <c r="E35" s="1"/>
      <c r="F35" s="84"/>
      <c r="G35" s="83"/>
      <c r="H35" s="94"/>
      <c r="I35" s="1"/>
      <c r="J35" s="1"/>
      <c r="K35" s="153"/>
      <c r="L35" s="95"/>
      <c r="M35" s="2"/>
      <c r="N35" s="1"/>
      <c r="O35" s="1"/>
      <c r="P35" s="84"/>
      <c r="Q35" s="82"/>
      <c r="R35" s="94"/>
      <c r="S35" s="1"/>
      <c r="T35" s="305"/>
      <c r="U35" s="1"/>
      <c r="V35" s="94"/>
      <c r="W35" s="1"/>
      <c r="X35" s="95"/>
      <c r="Y35" s="2"/>
      <c r="Z35" s="96"/>
      <c r="AA35" s="84"/>
      <c r="AB35" s="83"/>
      <c r="AC35" s="1"/>
      <c r="AD35" s="94"/>
      <c r="AE35" s="1"/>
      <c r="AF35" s="1"/>
    </row>
    <row r="36" spans="1:32" x14ac:dyDescent="0.25">
      <c r="A36" s="20" t="s">
        <v>87</v>
      </c>
      <c r="B36" s="87"/>
      <c r="C36" s="97"/>
      <c r="D36" s="97"/>
      <c r="E36" s="97"/>
      <c r="F36" s="84"/>
      <c r="G36" s="83"/>
      <c r="H36" s="115"/>
      <c r="I36" s="97"/>
      <c r="J36" s="97"/>
      <c r="K36" s="98"/>
      <c r="L36" s="99"/>
      <c r="M36" s="2"/>
      <c r="N36" s="1"/>
      <c r="O36" s="1"/>
      <c r="P36" s="84"/>
      <c r="Q36" s="100"/>
      <c r="R36" s="1"/>
      <c r="S36" s="95"/>
      <c r="T36" s="305"/>
      <c r="U36" s="1"/>
      <c r="V36" s="94"/>
      <c r="W36" s="1"/>
      <c r="X36" s="95"/>
      <c r="Y36" s="2"/>
      <c r="Z36" s="96"/>
      <c r="AA36" s="84"/>
      <c r="AB36" s="83"/>
      <c r="AC36" s="1"/>
      <c r="AD36" s="94"/>
      <c r="AE36" s="1"/>
      <c r="AF36" s="1"/>
    </row>
    <row r="37" spans="1:32" x14ac:dyDescent="0.25">
      <c r="A37" s="101" t="s">
        <v>485</v>
      </c>
      <c r="B37" s="102" t="s">
        <v>88</v>
      </c>
      <c r="C37" s="103" t="s">
        <v>88</v>
      </c>
      <c r="D37" s="104" t="s">
        <v>88</v>
      </c>
      <c r="E37" s="105" t="s">
        <v>88</v>
      </c>
      <c r="F37" s="106" t="s">
        <v>88</v>
      </c>
      <c r="G37" s="107" t="s">
        <v>88</v>
      </c>
      <c r="H37" s="104" t="s">
        <v>88</v>
      </c>
      <c r="I37" s="103" t="s">
        <v>88</v>
      </c>
      <c r="J37" s="103" t="s">
        <v>88</v>
      </c>
      <c r="K37" s="108" t="s">
        <v>88</v>
      </c>
      <c r="L37" s="105" t="s">
        <v>88</v>
      </c>
      <c r="M37" s="102" t="s">
        <v>88</v>
      </c>
      <c r="N37" s="111" t="s">
        <v>88</v>
      </c>
      <c r="O37" s="111" t="s">
        <v>88</v>
      </c>
      <c r="P37" s="84" t="s">
        <v>88</v>
      </c>
      <c r="Q37" s="100" t="s">
        <v>90</v>
      </c>
      <c r="R37" s="111" t="s">
        <v>88</v>
      </c>
      <c r="S37" s="112" t="s">
        <v>88</v>
      </c>
      <c r="T37" s="306" t="s">
        <v>88</v>
      </c>
      <c r="U37" s="110" t="s">
        <v>88</v>
      </c>
      <c r="V37" s="112" t="s">
        <v>88</v>
      </c>
      <c r="W37" s="110" t="s">
        <v>88</v>
      </c>
      <c r="X37" s="109" t="s">
        <v>88</v>
      </c>
      <c r="Y37" s="102"/>
      <c r="Z37" s="107"/>
      <c r="AA37" s="84" t="s">
        <v>88</v>
      </c>
      <c r="AB37" s="107" t="s">
        <v>88</v>
      </c>
      <c r="AC37" s="110" t="s">
        <v>88</v>
      </c>
      <c r="AD37" s="112" t="s">
        <v>88</v>
      </c>
      <c r="AE37" s="110" t="s">
        <v>88</v>
      </c>
      <c r="AF37" s="110" t="s">
        <v>88</v>
      </c>
    </row>
    <row r="38" spans="1:32" s="118" customFormat="1" x14ac:dyDescent="0.25">
      <c r="A38" s="113" t="s">
        <v>89</v>
      </c>
      <c r="B38" s="114" t="s">
        <v>90</v>
      </c>
      <c r="C38" s="97" t="s">
        <v>90</v>
      </c>
      <c r="D38" s="115" t="s">
        <v>90</v>
      </c>
      <c r="E38" s="116" t="s">
        <v>90</v>
      </c>
      <c r="F38" s="117" t="s">
        <v>88</v>
      </c>
      <c r="G38" s="116" t="s">
        <v>88</v>
      </c>
      <c r="H38" s="114" t="s">
        <v>90</v>
      </c>
      <c r="I38" s="97" t="s">
        <v>90</v>
      </c>
      <c r="J38" s="97" t="s">
        <v>90</v>
      </c>
      <c r="K38" s="98" t="s">
        <v>88</v>
      </c>
      <c r="L38" s="99" t="s">
        <v>88</v>
      </c>
      <c r="M38" s="117" t="s">
        <v>88</v>
      </c>
      <c r="N38" s="98" t="s">
        <v>88</v>
      </c>
      <c r="O38" s="98" t="s">
        <v>88</v>
      </c>
      <c r="P38" s="84" t="s">
        <v>88</v>
      </c>
      <c r="Q38" s="100" t="s">
        <v>88</v>
      </c>
      <c r="R38" s="98" t="s">
        <v>88</v>
      </c>
      <c r="S38" s="115" t="s">
        <v>90</v>
      </c>
      <c r="T38" s="305" t="s">
        <v>90</v>
      </c>
      <c r="U38" s="97" t="s">
        <v>88</v>
      </c>
      <c r="V38" s="98" t="s">
        <v>88</v>
      </c>
      <c r="W38" s="98" t="s">
        <v>88</v>
      </c>
      <c r="X38" s="99" t="s">
        <v>88</v>
      </c>
      <c r="Y38" s="117" t="s">
        <v>90</v>
      </c>
      <c r="Z38" s="116" t="s">
        <v>90</v>
      </c>
      <c r="AA38" s="84" t="s">
        <v>88</v>
      </c>
      <c r="AB38" s="83" t="s">
        <v>88</v>
      </c>
      <c r="AC38" s="97" t="s">
        <v>88</v>
      </c>
      <c r="AD38" s="115" t="s">
        <v>88</v>
      </c>
      <c r="AE38" s="97" t="s">
        <v>88</v>
      </c>
      <c r="AF38" s="97" t="s">
        <v>90</v>
      </c>
    </row>
    <row r="39" spans="1:32" s="64" customFormat="1" x14ac:dyDescent="0.25">
      <c r="A39" s="62" t="s">
        <v>91</v>
      </c>
      <c r="B39" s="52"/>
      <c r="C39" s="119"/>
      <c r="D39" s="52"/>
      <c r="E39" s="52"/>
      <c r="F39" s="53"/>
      <c r="G39" s="53"/>
      <c r="H39" s="53"/>
      <c r="I39" s="53"/>
      <c r="J39" s="53"/>
      <c r="K39" s="53"/>
      <c r="L39" s="53"/>
      <c r="M39" s="63"/>
      <c r="N39" s="53"/>
      <c r="O39" s="53"/>
      <c r="P39" s="53"/>
      <c r="Q39" s="53" t="s">
        <v>92</v>
      </c>
      <c r="R39" s="53"/>
      <c r="S39" s="53"/>
      <c r="T39" s="53"/>
      <c r="U39" s="53"/>
      <c r="V39" s="53"/>
      <c r="W39" s="53"/>
      <c r="X39" s="53"/>
      <c r="Y39" s="63"/>
      <c r="Z39" s="53"/>
      <c r="AA39" s="53"/>
      <c r="AB39" s="53"/>
      <c r="AC39" s="53"/>
      <c r="AD39" s="53"/>
      <c r="AE39" s="53"/>
      <c r="AF39" s="53"/>
    </row>
    <row r="40" spans="1:32" s="121" customFormat="1" x14ac:dyDescent="0.25">
      <c r="A40" s="86" t="s">
        <v>93</v>
      </c>
      <c r="B40" s="90"/>
      <c r="C40" s="120"/>
      <c r="D40" s="90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</row>
    <row r="41" spans="1:32" s="122" customFormat="1" x14ac:dyDescent="0.25">
      <c r="A41" s="81" t="s">
        <v>94</v>
      </c>
      <c r="B41" s="78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</row>
    <row r="42" spans="1:32" s="58" customFormat="1" x14ac:dyDescent="0.25">
      <c r="A42" s="70" t="s">
        <v>95</v>
      </c>
      <c r="B42" s="57"/>
      <c r="C42" s="123"/>
      <c r="D42" s="57"/>
      <c r="E42" s="57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 spans="1:32" s="126" customFormat="1" x14ac:dyDescent="0.25">
      <c r="A43" s="124" t="s">
        <v>96</v>
      </c>
      <c r="B43" s="125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</row>
    <row r="44" spans="1:32" s="132" customFormat="1" x14ac:dyDescent="0.25">
      <c r="A44" s="128" t="s">
        <v>97</v>
      </c>
      <c r="B44" s="129"/>
      <c r="C44" s="130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</row>
    <row r="45" spans="1:32" s="3" customFormat="1" x14ac:dyDescent="0.25">
      <c r="A45" s="133" t="s">
        <v>98</v>
      </c>
    </row>
    <row r="46" spans="1:32" s="3" customFormat="1" x14ac:dyDescent="0.25">
      <c r="A46" s="134"/>
    </row>
    <row r="47" spans="1:32" s="3" customFormat="1" x14ac:dyDescent="0.25"/>
    <row r="48" spans="1:32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6"/>
  <sheetViews>
    <sheetView zoomScaleNormal="100" workbookViewId="0">
      <selection activeCell="S22" sqref="S22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6" width="7.28515625" style="4" customWidth="1"/>
    <col min="7" max="7" width="7.28515625" style="3" customWidth="1"/>
    <col min="8" max="8" width="7.28515625" style="5" customWidth="1"/>
    <col min="9" max="9" width="7.28515625" style="6" customWidth="1"/>
    <col min="10" max="10" width="7.28515625" style="3" customWidth="1"/>
    <col min="11" max="11" width="7.28515625" style="4" customWidth="1"/>
    <col min="12" max="13" width="7.28515625" style="5" customWidth="1"/>
    <col min="14" max="14" width="7.28515625" style="3" customWidth="1"/>
    <col min="15" max="15" width="7.28515625" style="5" customWidth="1"/>
    <col min="16" max="16" width="8.140625" style="3" customWidth="1"/>
    <col min="17" max="17" width="7.28515625" style="4" customWidth="1"/>
    <col min="18" max="18" width="7.28515625" style="5" customWidth="1"/>
    <col min="19" max="20" width="7.28515625" style="4" customWidth="1"/>
    <col min="21" max="21" width="7.28515625" style="3" customWidth="1"/>
    <col min="22" max="22" width="8.140625" style="3" customWidth="1"/>
    <col min="23" max="23" width="8.28515625" style="3" customWidth="1"/>
    <col min="24" max="27" width="8.85546875" style="3"/>
    <col min="28" max="28" width="9.42578125" style="3" customWidth="1"/>
    <col min="29" max="1024" width="8.85546875" style="3"/>
  </cols>
  <sheetData>
    <row r="1" spans="1:32" s="19" customFormat="1" ht="15.75" thickBot="1" x14ac:dyDescent="0.3">
      <c r="A1" s="7"/>
      <c r="B1" s="8" t="s">
        <v>0</v>
      </c>
      <c r="C1" s="8" t="s">
        <v>0</v>
      </c>
      <c r="D1" s="8" t="s">
        <v>1</v>
      </c>
      <c r="E1" s="8" t="s">
        <v>1</v>
      </c>
      <c r="F1" s="9" t="s">
        <v>2</v>
      </c>
      <c r="G1" s="10" t="s">
        <v>3</v>
      </c>
      <c r="H1" s="9" t="s">
        <v>4</v>
      </c>
      <c r="I1" s="11" t="s">
        <v>5</v>
      </c>
      <c r="J1" s="12" t="s">
        <v>6</v>
      </c>
      <c r="K1" s="262" t="s">
        <v>7</v>
      </c>
      <c r="L1" s="11" t="s">
        <v>7</v>
      </c>
      <c r="M1" s="12" t="s">
        <v>8</v>
      </c>
      <c r="N1" s="12" t="s">
        <v>9</v>
      </c>
      <c r="O1" s="256" t="s">
        <v>10</v>
      </c>
      <c r="P1" s="15" t="s">
        <v>10</v>
      </c>
      <c r="Q1" s="12" t="s">
        <v>11</v>
      </c>
      <c r="R1" s="12" t="s">
        <v>12</v>
      </c>
      <c r="S1" s="10" t="s">
        <v>13</v>
      </c>
      <c r="T1" s="9" t="s">
        <v>14</v>
      </c>
      <c r="U1" s="11" t="s">
        <v>486</v>
      </c>
      <c r="V1" s="257" t="s">
        <v>15</v>
      </c>
      <c r="W1" s="12" t="s">
        <v>16</v>
      </c>
      <c r="X1" s="17" t="s">
        <v>17</v>
      </c>
      <c r="Y1" s="18" t="s">
        <v>18</v>
      </c>
      <c r="Z1" s="9" t="s">
        <v>19</v>
      </c>
      <c r="AA1" s="10" t="s">
        <v>20</v>
      </c>
      <c r="AB1" s="9" t="s">
        <v>21</v>
      </c>
      <c r="AC1" s="9" t="s">
        <v>22</v>
      </c>
      <c r="AD1" s="11" t="s">
        <v>23</v>
      </c>
      <c r="AE1" s="11" t="s">
        <v>487</v>
      </c>
    </row>
    <row r="2" spans="1:32" x14ac:dyDescent="0.25">
      <c r="A2" s="20" t="s">
        <v>24</v>
      </c>
      <c r="B2" s="21"/>
      <c r="C2" s="22"/>
      <c r="D2" s="23"/>
      <c r="E2" s="24"/>
      <c r="F2" s="25"/>
      <c r="G2" s="24"/>
      <c r="H2" s="25"/>
      <c r="I2" s="22"/>
      <c r="J2" s="26"/>
      <c r="K2" s="27"/>
      <c r="L2" s="28"/>
      <c r="M2" s="26"/>
      <c r="N2" s="26"/>
      <c r="O2" s="25"/>
      <c r="P2" s="23"/>
      <c r="Q2" s="26"/>
      <c r="R2" s="26"/>
      <c r="S2" s="24"/>
      <c r="T2" s="25"/>
      <c r="U2" s="22"/>
      <c r="V2" s="22"/>
      <c r="W2" s="26"/>
      <c r="X2" s="21"/>
      <c r="Y2" s="24"/>
      <c r="Z2" s="25"/>
      <c r="AA2" s="24"/>
      <c r="AB2" s="25"/>
      <c r="AC2" s="23"/>
      <c r="AD2" s="22"/>
      <c r="AE2" s="22"/>
    </row>
    <row r="3" spans="1:32" s="38" customFormat="1" x14ac:dyDescent="0.25">
      <c r="A3" s="29" t="s">
        <v>25</v>
      </c>
      <c r="B3" s="30" t="s">
        <v>26</v>
      </c>
      <c r="C3" s="30" t="s">
        <v>26</v>
      </c>
      <c r="D3" s="30" t="s">
        <v>26</v>
      </c>
      <c r="E3" s="30" t="s">
        <v>26</v>
      </c>
      <c r="F3" s="30" t="s">
        <v>484</v>
      </c>
      <c r="G3" s="30" t="s">
        <v>484</v>
      </c>
      <c r="H3" s="31" t="s">
        <v>484</v>
      </c>
      <c r="I3" s="32" t="s">
        <v>26</v>
      </c>
      <c r="J3" s="29" t="s">
        <v>484</v>
      </c>
      <c r="K3" s="33" t="s">
        <v>28</v>
      </c>
      <c r="L3" s="32" t="s">
        <v>28</v>
      </c>
      <c r="M3" s="32" t="s">
        <v>28</v>
      </c>
      <c r="N3" s="34" t="s">
        <v>28</v>
      </c>
      <c r="O3" s="31" t="s">
        <v>26</v>
      </c>
      <c r="P3" s="32"/>
      <c r="Q3" s="32" t="s">
        <v>28</v>
      </c>
      <c r="R3" s="35" t="s">
        <v>28</v>
      </c>
      <c r="S3" s="35" t="s">
        <v>29</v>
      </c>
      <c r="T3" s="31" t="s">
        <v>26</v>
      </c>
      <c r="U3" s="32" t="s">
        <v>26</v>
      </c>
      <c r="V3" s="32" t="s">
        <v>26</v>
      </c>
      <c r="W3" s="29" t="s">
        <v>26</v>
      </c>
      <c r="X3" s="31" t="s">
        <v>30</v>
      </c>
      <c r="Y3" s="36" t="s">
        <v>30</v>
      </c>
      <c r="Z3" s="30" t="s">
        <v>26</v>
      </c>
      <c r="AA3" s="37" t="s">
        <v>26</v>
      </c>
      <c r="AB3" s="31" t="s">
        <v>26</v>
      </c>
      <c r="AC3" s="32" t="s">
        <v>26</v>
      </c>
      <c r="AD3" s="32" t="s">
        <v>484</v>
      </c>
      <c r="AE3" s="32" t="s">
        <v>484</v>
      </c>
    </row>
    <row r="4" spans="1:32" s="38" customFormat="1" x14ac:dyDescent="0.25">
      <c r="A4" s="29" t="s">
        <v>31</v>
      </c>
      <c r="B4" s="39" t="s">
        <v>32</v>
      </c>
      <c r="C4" s="40" t="s">
        <v>26</v>
      </c>
      <c r="D4" s="41" t="s">
        <v>33</v>
      </c>
      <c r="E4" s="40" t="s">
        <v>26</v>
      </c>
      <c r="F4" s="40" t="s">
        <v>484</v>
      </c>
      <c r="G4" s="40" t="s">
        <v>484</v>
      </c>
      <c r="H4" s="248" t="s">
        <v>484</v>
      </c>
      <c r="I4" s="42" t="s">
        <v>26</v>
      </c>
      <c r="J4" s="43" t="s">
        <v>484</v>
      </c>
      <c r="K4" s="40" t="s">
        <v>28</v>
      </c>
      <c r="L4" s="42" t="s">
        <v>28</v>
      </c>
      <c r="M4" s="44" t="s">
        <v>28</v>
      </c>
      <c r="N4" s="44" t="s">
        <v>28</v>
      </c>
      <c r="O4" s="40" t="s">
        <v>26</v>
      </c>
      <c r="P4" s="42"/>
      <c r="Q4" s="42" t="s">
        <v>28</v>
      </c>
      <c r="R4" s="45" t="s">
        <v>30</v>
      </c>
      <c r="S4" s="243" t="s">
        <v>484</v>
      </c>
      <c r="T4" s="40" t="s">
        <v>26</v>
      </c>
      <c r="U4" s="42" t="s">
        <v>26</v>
      </c>
      <c r="V4" s="42" t="s">
        <v>26</v>
      </c>
      <c r="W4" s="45" t="s">
        <v>26</v>
      </c>
      <c r="X4" s="40" t="s">
        <v>30</v>
      </c>
      <c r="Y4" s="47" t="s">
        <v>30</v>
      </c>
      <c r="Z4" s="48" t="s">
        <v>26</v>
      </c>
      <c r="AA4" s="45" t="s">
        <v>26</v>
      </c>
      <c r="AB4" s="48" t="s">
        <v>26</v>
      </c>
      <c r="AC4" s="44" t="s">
        <v>26</v>
      </c>
      <c r="AD4" s="245" t="s">
        <v>484</v>
      </c>
      <c r="AE4" s="245" t="s">
        <v>484</v>
      </c>
    </row>
    <row r="5" spans="1:32" s="38" customFormat="1" x14ac:dyDescent="0.25">
      <c r="A5" s="29" t="s">
        <v>34</v>
      </c>
      <c r="B5" s="40" t="s">
        <v>35</v>
      </c>
      <c r="C5" s="43" t="s">
        <v>36</v>
      </c>
      <c r="D5" s="42" t="s">
        <v>35</v>
      </c>
      <c r="E5" s="42" t="s">
        <v>36</v>
      </c>
      <c r="F5" s="48" t="s">
        <v>35</v>
      </c>
      <c r="G5" s="50" t="s">
        <v>35</v>
      </c>
      <c r="H5" s="51" t="s">
        <v>36</v>
      </c>
      <c r="I5" s="42" t="s">
        <v>36</v>
      </c>
      <c r="J5" s="43" t="s">
        <v>35</v>
      </c>
      <c r="K5" s="52" t="s">
        <v>36</v>
      </c>
      <c r="L5" s="53" t="s">
        <v>35</v>
      </c>
      <c r="M5" s="42" t="s">
        <v>35</v>
      </c>
      <c r="N5" s="54" t="s">
        <v>35</v>
      </c>
      <c r="O5" s="55" t="s">
        <v>36</v>
      </c>
      <c r="P5" s="54" t="s">
        <v>35</v>
      </c>
      <c r="Q5" s="43" t="s">
        <v>35</v>
      </c>
      <c r="R5" s="43" t="s">
        <v>35</v>
      </c>
      <c r="S5" s="47" t="s">
        <v>35</v>
      </c>
      <c r="T5" s="54" t="s">
        <v>37</v>
      </c>
      <c r="U5" s="43" t="s">
        <v>35</v>
      </c>
      <c r="V5" s="43" t="s">
        <v>35</v>
      </c>
      <c r="W5" s="43" t="s">
        <v>36</v>
      </c>
      <c r="X5" s="51" t="s">
        <v>35</v>
      </c>
      <c r="Y5" s="56" t="s">
        <v>35</v>
      </c>
      <c r="Z5" s="55" t="s">
        <v>36</v>
      </c>
      <c r="AA5" s="50" t="s">
        <v>36</v>
      </c>
      <c r="AB5" s="51" t="s">
        <v>36</v>
      </c>
      <c r="AC5" s="42" t="s">
        <v>36</v>
      </c>
      <c r="AD5" s="42" t="s">
        <v>35</v>
      </c>
      <c r="AE5" s="42" t="s">
        <v>35</v>
      </c>
    </row>
    <row r="6" spans="1:32" x14ac:dyDescent="0.25">
      <c r="A6" s="20" t="s">
        <v>38</v>
      </c>
      <c r="B6" s="57">
        <v>2022</v>
      </c>
      <c r="C6" s="53">
        <v>2019</v>
      </c>
      <c r="D6" s="58">
        <v>2022</v>
      </c>
      <c r="E6" s="50">
        <v>2019</v>
      </c>
      <c r="F6" s="252">
        <v>2024</v>
      </c>
      <c r="G6" s="253">
        <v>2024</v>
      </c>
      <c r="H6" s="61">
        <v>2023</v>
      </c>
      <c r="I6" s="53">
        <v>2016</v>
      </c>
      <c r="J6" s="62">
        <v>2024</v>
      </c>
      <c r="K6" s="52">
        <v>2019</v>
      </c>
      <c r="L6" s="63">
        <v>2022</v>
      </c>
      <c r="M6" s="62">
        <v>2023</v>
      </c>
      <c r="N6" s="62">
        <v>2022</v>
      </c>
      <c r="O6" s="61">
        <v>2017</v>
      </c>
      <c r="P6" s="64"/>
      <c r="Q6" s="62">
        <v>2023</v>
      </c>
      <c r="R6" s="62">
        <v>2023</v>
      </c>
      <c r="S6" s="50">
        <v>2023</v>
      </c>
      <c r="T6" s="61">
        <v>2024</v>
      </c>
      <c r="U6" s="53">
        <v>2024</v>
      </c>
      <c r="V6" s="53">
        <v>2023</v>
      </c>
      <c r="W6" s="62">
        <v>2024</v>
      </c>
      <c r="X6" s="52">
        <v>2022</v>
      </c>
      <c r="Y6" s="50">
        <v>2022</v>
      </c>
      <c r="Z6" s="61">
        <v>2015</v>
      </c>
      <c r="AA6" s="50">
        <v>2009</v>
      </c>
      <c r="AB6" s="61">
        <v>2024</v>
      </c>
      <c r="AC6" s="53">
        <v>2016</v>
      </c>
      <c r="AD6" s="246">
        <v>2024</v>
      </c>
      <c r="AE6" s="246">
        <v>2024</v>
      </c>
    </row>
    <row r="7" spans="1:32" x14ac:dyDescent="0.25">
      <c r="A7" s="20" t="s">
        <v>39</v>
      </c>
      <c r="B7" s="57">
        <v>2022</v>
      </c>
      <c r="C7" s="53">
        <v>2019</v>
      </c>
      <c r="D7" s="58">
        <v>2022</v>
      </c>
      <c r="E7" s="50">
        <v>2019</v>
      </c>
      <c r="F7" s="252">
        <v>2024</v>
      </c>
      <c r="G7" s="253">
        <v>2024</v>
      </c>
      <c r="H7" s="61">
        <v>2023</v>
      </c>
      <c r="I7" s="53">
        <v>2016</v>
      </c>
      <c r="J7" s="62">
        <v>2024</v>
      </c>
      <c r="K7" s="52">
        <v>2019</v>
      </c>
      <c r="L7" s="53">
        <v>2022</v>
      </c>
      <c r="M7" s="62">
        <v>2023</v>
      </c>
      <c r="N7" s="62">
        <v>2022</v>
      </c>
      <c r="O7" s="61">
        <v>2017</v>
      </c>
      <c r="P7" s="64"/>
      <c r="Q7" s="62">
        <v>2023</v>
      </c>
      <c r="R7" s="62">
        <v>2023</v>
      </c>
      <c r="S7" s="50">
        <v>2023</v>
      </c>
      <c r="T7" s="61">
        <v>2024</v>
      </c>
      <c r="U7" s="53">
        <v>2024</v>
      </c>
      <c r="V7" s="53">
        <v>2023</v>
      </c>
      <c r="W7" s="62">
        <v>2024</v>
      </c>
      <c r="X7" s="52">
        <v>2022</v>
      </c>
      <c r="Y7" s="50">
        <v>2022</v>
      </c>
      <c r="Z7" s="61">
        <v>2015</v>
      </c>
      <c r="AA7" s="50">
        <v>2009</v>
      </c>
      <c r="AB7" s="61">
        <v>2024</v>
      </c>
      <c r="AC7" s="53">
        <v>2016</v>
      </c>
      <c r="AD7" s="246">
        <v>2024</v>
      </c>
      <c r="AE7" s="246">
        <v>2024</v>
      </c>
      <c r="AF7" s="3" t="s">
        <v>40</v>
      </c>
    </row>
    <row r="8" spans="1:32" x14ac:dyDescent="0.25">
      <c r="A8" s="20" t="s">
        <v>41</v>
      </c>
      <c r="B8" s="66"/>
      <c r="C8" s="53">
        <v>2019</v>
      </c>
      <c r="D8" s="67"/>
      <c r="E8" s="50">
        <v>2019</v>
      </c>
      <c r="F8" s="250"/>
      <c r="G8" s="251"/>
      <c r="H8" s="61">
        <v>2023</v>
      </c>
      <c r="I8" s="53">
        <v>2016</v>
      </c>
      <c r="J8" s="67"/>
      <c r="K8" s="52">
        <v>2019</v>
      </c>
      <c r="L8" s="68"/>
      <c r="M8" s="67"/>
      <c r="N8" s="67"/>
      <c r="O8" s="61">
        <v>2017</v>
      </c>
      <c r="P8" s="64"/>
      <c r="Q8" s="67"/>
      <c r="R8" s="67"/>
      <c r="S8" s="69"/>
      <c r="T8" s="61">
        <v>2011</v>
      </c>
      <c r="U8" s="258"/>
      <c r="V8" s="258"/>
      <c r="W8" s="62">
        <v>2022</v>
      </c>
      <c r="X8" s="66"/>
      <c r="Y8" s="69"/>
      <c r="Z8" s="61">
        <v>2015</v>
      </c>
      <c r="AA8" s="50">
        <v>2009</v>
      </c>
      <c r="AB8" s="61">
        <v>2024</v>
      </c>
      <c r="AC8" s="53">
        <v>2016</v>
      </c>
      <c r="AD8" s="247"/>
      <c r="AE8" s="247"/>
      <c r="AF8" s="3" t="s">
        <v>42</v>
      </c>
    </row>
    <row r="9" spans="1:32" x14ac:dyDescent="0.25">
      <c r="A9" s="20" t="s">
        <v>43</v>
      </c>
      <c r="B9" s="66"/>
      <c r="C9" s="53">
        <v>2019</v>
      </c>
      <c r="D9" s="67"/>
      <c r="E9" s="50">
        <v>2019</v>
      </c>
      <c r="F9" s="250"/>
      <c r="G9" s="251"/>
      <c r="H9" s="61">
        <v>2023</v>
      </c>
      <c r="I9" s="53">
        <v>2023</v>
      </c>
      <c r="J9" s="67"/>
      <c r="K9" s="52">
        <v>2023</v>
      </c>
      <c r="L9" s="68"/>
      <c r="M9" s="67"/>
      <c r="N9" s="67"/>
      <c r="O9" s="61">
        <v>2019</v>
      </c>
      <c r="P9" s="64"/>
      <c r="Q9" s="67"/>
      <c r="R9" s="67"/>
      <c r="S9" s="69"/>
      <c r="T9" s="61">
        <v>2024</v>
      </c>
      <c r="U9" s="258"/>
      <c r="V9" s="258"/>
      <c r="W9" s="62">
        <v>2023</v>
      </c>
      <c r="X9" s="66"/>
      <c r="Y9" s="69"/>
      <c r="Z9" s="61">
        <v>2023</v>
      </c>
      <c r="AA9" s="50">
        <v>2023</v>
      </c>
      <c r="AB9" s="252">
        <v>2024</v>
      </c>
      <c r="AC9" s="259">
        <v>2024</v>
      </c>
      <c r="AD9" s="247"/>
      <c r="AE9" s="247"/>
      <c r="AF9" s="3" t="s">
        <v>42</v>
      </c>
    </row>
    <row r="10" spans="1:32" x14ac:dyDescent="0.25">
      <c r="A10" s="20" t="s">
        <v>44</v>
      </c>
      <c r="B10" s="66"/>
      <c r="C10" s="71">
        <v>2019</v>
      </c>
      <c r="D10" s="67"/>
      <c r="E10" s="60">
        <v>2019</v>
      </c>
      <c r="F10" s="250"/>
      <c r="G10" s="251"/>
      <c r="H10" s="61">
        <v>2023</v>
      </c>
      <c r="I10" s="53">
        <v>2023</v>
      </c>
      <c r="J10" s="67"/>
      <c r="K10" s="52">
        <v>2023</v>
      </c>
      <c r="L10" s="68"/>
      <c r="M10" s="67"/>
      <c r="N10" s="67"/>
      <c r="O10" s="59"/>
      <c r="P10" s="64"/>
      <c r="Q10" s="67"/>
      <c r="R10" s="67"/>
      <c r="S10" s="69"/>
      <c r="T10" s="252">
        <v>2024</v>
      </c>
      <c r="U10" s="68"/>
      <c r="V10" s="68"/>
      <c r="W10" s="62">
        <v>2023</v>
      </c>
      <c r="X10" s="66"/>
      <c r="Y10" s="69"/>
      <c r="Z10" s="61">
        <v>2023</v>
      </c>
      <c r="AA10" s="50">
        <v>2023</v>
      </c>
      <c r="AB10" s="252">
        <v>2024</v>
      </c>
      <c r="AC10" s="259">
        <v>2024</v>
      </c>
      <c r="AD10" s="247"/>
      <c r="AE10" s="247"/>
      <c r="AF10" s="3" t="s">
        <v>45</v>
      </c>
    </row>
    <row r="11" spans="1:32" x14ac:dyDescent="0.25">
      <c r="A11" s="20" t="s">
        <v>46</v>
      </c>
      <c r="B11" s="66"/>
      <c r="C11" s="53">
        <v>2019</v>
      </c>
      <c r="D11" s="67"/>
      <c r="E11" s="50">
        <v>2019</v>
      </c>
      <c r="F11" s="250"/>
      <c r="G11" s="251"/>
      <c r="H11" s="61">
        <v>2023</v>
      </c>
      <c r="I11" s="53">
        <v>2023</v>
      </c>
      <c r="J11" s="67"/>
      <c r="K11" s="52">
        <v>2023</v>
      </c>
      <c r="L11" s="68"/>
      <c r="M11" s="67"/>
      <c r="N11" s="67"/>
      <c r="O11" s="61">
        <v>2019</v>
      </c>
      <c r="P11" s="64"/>
      <c r="Q11" s="67"/>
      <c r="R11" s="67"/>
      <c r="S11" s="69"/>
      <c r="T11" s="252">
        <v>2024</v>
      </c>
      <c r="U11" s="68"/>
      <c r="V11" s="68"/>
      <c r="W11" s="62">
        <v>2023</v>
      </c>
      <c r="X11" s="66"/>
      <c r="Y11" s="69"/>
      <c r="Z11" s="61">
        <v>2023</v>
      </c>
      <c r="AA11" s="50">
        <v>2023</v>
      </c>
      <c r="AB11" s="252">
        <v>2024</v>
      </c>
      <c r="AC11" s="259">
        <v>2024</v>
      </c>
      <c r="AD11" s="247"/>
      <c r="AE11" s="247"/>
      <c r="AF11" s="3" t="s">
        <v>47</v>
      </c>
    </row>
    <row r="12" spans="1:32" x14ac:dyDescent="0.25">
      <c r="A12" s="20" t="s">
        <v>48</v>
      </c>
      <c r="B12" s="57">
        <v>2022</v>
      </c>
      <c r="C12" s="67"/>
      <c r="D12" s="71">
        <v>2022</v>
      </c>
      <c r="E12" s="69"/>
      <c r="F12" s="72"/>
      <c r="G12" s="69"/>
      <c r="H12" s="72"/>
      <c r="I12" s="68"/>
      <c r="J12" s="62">
        <v>2024</v>
      </c>
      <c r="K12" s="66"/>
      <c r="L12" s="53">
        <v>2023</v>
      </c>
      <c r="M12" s="62">
        <v>2023</v>
      </c>
      <c r="N12" s="62">
        <v>2023</v>
      </c>
      <c r="O12" s="72"/>
      <c r="P12" s="73"/>
      <c r="Q12" s="62">
        <v>2023</v>
      </c>
      <c r="R12" s="62">
        <v>2023</v>
      </c>
      <c r="S12" s="70">
        <v>2023</v>
      </c>
      <c r="T12" s="72"/>
      <c r="U12" s="53">
        <v>2024</v>
      </c>
      <c r="V12" s="53">
        <v>2024</v>
      </c>
      <c r="W12" s="67"/>
      <c r="X12" s="52">
        <v>2022</v>
      </c>
      <c r="Y12" s="52">
        <v>2023</v>
      </c>
      <c r="Z12" s="72"/>
      <c r="AA12" s="69"/>
      <c r="AB12" s="72"/>
      <c r="AC12" s="68"/>
      <c r="AD12" s="246">
        <v>2024</v>
      </c>
      <c r="AE12" s="246">
        <v>2024</v>
      </c>
      <c r="AF12" s="3" t="s">
        <v>49</v>
      </c>
    </row>
    <row r="13" spans="1:32" x14ac:dyDescent="0.25">
      <c r="A13" s="20" t="s">
        <v>50</v>
      </c>
      <c r="B13" s="57">
        <v>2022</v>
      </c>
      <c r="C13" s="53">
        <v>2019</v>
      </c>
      <c r="D13" s="58">
        <v>2022</v>
      </c>
      <c r="E13" s="50">
        <v>2019</v>
      </c>
      <c r="F13" s="252">
        <v>2024</v>
      </c>
      <c r="G13" s="50">
        <v>2024</v>
      </c>
      <c r="H13" s="61">
        <v>2023</v>
      </c>
      <c r="I13" s="53">
        <v>2023</v>
      </c>
      <c r="J13" s="62">
        <v>2024</v>
      </c>
      <c r="K13" s="52">
        <v>2023</v>
      </c>
      <c r="L13" s="53">
        <v>2022</v>
      </c>
      <c r="M13" s="62">
        <v>2023</v>
      </c>
      <c r="N13" s="62">
        <v>2022</v>
      </c>
      <c r="O13" s="59">
        <v>2017</v>
      </c>
      <c r="P13" s="64"/>
      <c r="Q13" s="62">
        <v>2020</v>
      </c>
      <c r="R13" s="62">
        <v>2023</v>
      </c>
      <c r="S13" s="50">
        <v>2022</v>
      </c>
      <c r="T13" s="252">
        <v>2024</v>
      </c>
      <c r="U13" s="53">
        <v>2024</v>
      </c>
      <c r="V13" s="53">
        <v>2023</v>
      </c>
      <c r="W13" s="62">
        <v>2022</v>
      </c>
      <c r="X13" s="52">
        <v>2022</v>
      </c>
      <c r="Y13" s="50">
        <v>2022</v>
      </c>
      <c r="Z13" s="61">
        <v>2023</v>
      </c>
      <c r="AA13" s="60">
        <v>2020</v>
      </c>
      <c r="AB13" s="61">
        <v>2021</v>
      </c>
      <c r="AC13" s="53">
        <v>2016</v>
      </c>
      <c r="AD13" s="246">
        <v>2024</v>
      </c>
      <c r="AE13" s="246">
        <v>2024</v>
      </c>
      <c r="AF13" s="3" t="s">
        <v>51</v>
      </c>
    </row>
    <row r="14" spans="1:32" x14ac:dyDescent="0.25">
      <c r="A14" s="20" t="s">
        <v>52</v>
      </c>
      <c r="B14" s="57">
        <v>2022</v>
      </c>
      <c r="C14" s="53">
        <v>2019</v>
      </c>
      <c r="D14" s="58">
        <v>2022</v>
      </c>
      <c r="E14" s="50">
        <v>2019</v>
      </c>
      <c r="F14" s="61">
        <v>2024</v>
      </c>
      <c r="G14" s="50">
        <v>2024</v>
      </c>
      <c r="H14" s="61">
        <v>2023</v>
      </c>
      <c r="I14" s="53">
        <v>2023</v>
      </c>
      <c r="J14" s="62">
        <v>2024</v>
      </c>
      <c r="K14" s="52">
        <v>2022</v>
      </c>
      <c r="L14" s="53">
        <v>2022</v>
      </c>
      <c r="M14" s="62">
        <v>2023</v>
      </c>
      <c r="N14" s="62">
        <v>2022</v>
      </c>
      <c r="O14" s="61">
        <v>2022</v>
      </c>
      <c r="P14" s="64"/>
      <c r="Q14" s="62">
        <v>2022</v>
      </c>
      <c r="R14" s="62">
        <v>2023</v>
      </c>
      <c r="S14" s="50">
        <v>2023</v>
      </c>
      <c r="T14" s="252">
        <v>2024</v>
      </c>
      <c r="U14" s="53">
        <v>2024</v>
      </c>
      <c r="V14" s="53">
        <v>2023</v>
      </c>
      <c r="W14" s="62">
        <v>2022</v>
      </c>
      <c r="X14" s="52">
        <v>2022</v>
      </c>
      <c r="Y14" s="50">
        <v>2022</v>
      </c>
      <c r="Z14" s="61">
        <v>2023</v>
      </c>
      <c r="AA14" s="50">
        <v>2023</v>
      </c>
      <c r="AB14" s="61">
        <v>2021</v>
      </c>
      <c r="AC14" s="259">
        <v>2024</v>
      </c>
      <c r="AD14" s="246">
        <v>2024</v>
      </c>
      <c r="AE14" s="246">
        <v>2024</v>
      </c>
      <c r="AF14" s="3" t="s">
        <v>51</v>
      </c>
    </row>
    <row r="15" spans="1:32" x14ac:dyDescent="0.25">
      <c r="A15" s="20" t="s">
        <v>53</v>
      </c>
      <c r="B15" s="57">
        <v>2022</v>
      </c>
      <c r="C15" s="53">
        <v>2019</v>
      </c>
      <c r="D15" s="58">
        <v>2022</v>
      </c>
      <c r="E15" s="50">
        <v>2019</v>
      </c>
      <c r="F15" s="61">
        <v>2024</v>
      </c>
      <c r="G15" s="50">
        <v>2024</v>
      </c>
      <c r="H15" s="61">
        <v>2017</v>
      </c>
      <c r="I15" s="53"/>
      <c r="J15" s="62">
        <v>2024</v>
      </c>
      <c r="K15" s="52"/>
      <c r="L15" s="53">
        <v>2022</v>
      </c>
      <c r="M15" s="62">
        <v>2023</v>
      </c>
      <c r="N15" s="62">
        <v>2022</v>
      </c>
      <c r="O15" s="61"/>
      <c r="P15" s="64"/>
      <c r="Q15" s="62">
        <v>2022</v>
      </c>
      <c r="R15" s="62">
        <v>2023</v>
      </c>
      <c r="S15" s="50">
        <v>2023</v>
      </c>
      <c r="T15" s="72"/>
      <c r="U15" s="53">
        <v>2024</v>
      </c>
      <c r="V15" s="53">
        <v>2023</v>
      </c>
      <c r="W15" s="62">
        <v>2022</v>
      </c>
      <c r="X15" s="52">
        <v>2022</v>
      </c>
      <c r="Y15" s="50">
        <v>2023</v>
      </c>
      <c r="Z15" s="61">
        <v>2013</v>
      </c>
      <c r="AA15" s="50">
        <v>2009</v>
      </c>
      <c r="AB15" s="61">
        <v>2021</v>
      </c>
      <c r="AC15" s="53">
        <v>2016</v>
      </c>
      <c r="AD15" s="246">
        <v>2024</v>
      </c>
      <c r="AE15" s="246">
        <v>2024</v>
      </c>
      <c r="AF15" s="3" t="s">
        <v>42</v>
      </c>
    </row>
    <row r="16" spans="1:32" x14ac:dyDescent="0.25">
      <c r="A16" s="20" t="s">
        <v>54</v>
      </c>
      <c r="B16" s="57">
        <v>2022</v>
      </c>
      <c r="C16" s="71">
        <v>2019</v>
      </c>
      <c r="D16" s="58">
        <v>2022</v>
      </c>
      <c r="E16" s="60">
        <v>2019</v>
      </c>
      <c r="F16" s="252">
        <v>2024</v>
      </c>
      <c r="G16" s="253">
        <v>2024</v>
      </c>
      <c r="H16" s="59"/>
      <c r="I16" s="71">
        <v>2024</v>
      </c>
      <c r="J16" s="62">
        <v>2024</v>
      </c>
      <c r="K16" s="57"/>
      <c r="L16" s="259">
        <v>2024</v>
      </c>
      <c r="M16" s="263">
        <v>2024</v>
      </c>
      <c r="N16" s="263">
        <v>2024</v>
      </c>
      <c r="O16" s="59"/>
      <c r="P16" s="64"/>
      <c r="Q16" s="70">
        <v>2023</v>
      </c>
      <c r="R16" s="70">
        <v>2023</v>
      </c>
      <c r="S16" s="253">
        <v>2024</v>
      </c>
      <c r="T16" s="252">
        <v>2024</v>
      </c>
      <c r="U16" s="259">
        <v>2024</v>
      </c>
      <c r="V16" s="259">
        <v>2024</v>
      </c>
      <c r="W16" s="263">
        <v>2024</v>
      </c>
      <c r="X16" s="57"/>
      <c r="Y16" s="60"/>
      <c r="Z16" s="59"/>
      <c r="AA16" s="60"/>
      <c r="AB16" s="252">
        <v>2024</v>
      </c>
      <c r="AC16" s="259">
        <v>2024</v>
      </c>
      <c r="AD16" s="246">
        <v>2024</v>
      </c>
      <c r="AE16" s="246">
        <v>2024</v>
      </c>
      <c r="AF16" s="3" t="s">
        <v>55</v>
      </c>
    </row>
    <row r="17" spans="1:32" x14ac:dyDescent="0.25">
      <c r="A17" s="20" t="s">
        <v>56</v>
      </c>
      <c r="B17" s="57">
        <v>2022</v>
      </c>
      <c r="C17" s="71">
        <v>2019</v>
      </c>
      <c r="D17" s="58">
        <v>2022</v>
      </c>
      <c r="E17" s="60">
        <v>2019</v>
      </c>
      <c r="F17" s="252">
        <v>2024</v>
      </c>
      <c r="G17" s="253">
        <v>2024</v>
      </c>
      <c r="H17" s="59"/>
      <c r="I17" s="71">
        <v>2024</v>
      </c>
      <c r="J17" s="62">
        <v>2024</v>
      </c>
      <c r="K17" s="57"/>
      <c r="L17" s="259">
        <v>2024</v>
      </c>
      <c r="M17" s="263">
        <v>2024</v>
      </c>
      <c r="N17" s="263">
        <v>2024</v>
      </c>
      <c r="O17" s="59"/>
      <c r="P17" s="64"/>
      <c r="Q17" s="70">
        <v>2023</v>
      </c>
      <c r="R17" s="67"/>
      <c r="S17" s="253">
        <v>2024</v>
      </c>
      <c r="T17" s="72"/>
      <c r="U17" s="259">
        <v>2024</v>
      </c>
      <c r="V17" s="259">
        <v>2024</v>
      </c>
      <c r="W17" s="263">
        <v>2024</v>
      </c>
      <c r="X17" s="66"/>
      <c r="Y17" s="60"/>
      <c r="Z17" s="59"/>
      <c r="AA17" s="60"/>
      <c r="AB17" s="252">
        <v>2024</v>
      </c>
      <c r="AC17" s="259">
        <v>2024</v>
      </c>
      <c r="AD17" s="246">
        <v>2024</v>
      </c>
      <c r="AE17" s="246">
        <v>2024</v>
      </c>
      <c r="AF17" s="3" t="s">
        <v>55</v>
      </c>
    </row>
    <row r="18" spans="1:32" x14ac:dyDescent="0.25">
      <c r="A18" s="20" t="s">
        <v>57</v>
      </c>
      <c r="B18" s="57">
        <v>2022</v>
      </c>
      <c r="C18" s="53" t="s">
        <v>37</v>
      </c>
      <c r="D18" s="58">
        <v>2022</v>
      </c>
      <c r="E18" s="74"/>
      <c r="F18" s="252" t="s">
        <v>63</v>
      </c>
      <c r="G18" s="242" t="s">
        <v>59</v>
      </c>
      <c r="H18" s="61"/>
      <c r="I18" s="76">
        <v>2023</v>
      </c>
      <c r="J18" s="53" t="s">
        <v>180</v>
      </c>
      <c r="K18" s="78" t="s">
        <v>61</v>
      </c>
      <c r="L18" s="260">
        <v>2024</v>
      </c>
      <c r="M18" s="62"/>
      <c r="N18" s="62"/>
      <c r="O18" s="61">
        <v>2023</v>
      </c>
      <c r="P18" s="64"/>
      <c r="Q18" s="62" t="s">
        <v>62</v>
      </c>
      <c r="R18" s="67"/>
      <c r="S18" s="50" t="s">
        <v>63</v>
      </c>
      <c r="T18" s="72"/>
      <c r="U18" s="259">
        <v>2024</v>
      </c>
      <c r="V18" s="259">
        <v>2024</v>
      </c>
      <c r="W18" s="62">
        <v>2021</v>
      </c>
      <c r="X18" s="66"/>
      <c r="Y18" s="50" t="s">
        <v>37</v>
      </c>
      <c r="Z18" s="59"/>
      <c r="AA18" s="50" t="s">
        <v>65</v>
      </c>
      <c r="AB18" s="61" t="s">
        <v>66</v>
      </c>
      <c r="AC18" s="53"/>
      <c r="AD18" s="246">
        <v>2024</v>
      </c>
      <c r="AE18" s="246">
        <v>2024</v>
      </c>
      <c r="AF18" s="3" t="s">
        <v>67</v>
      </c>
    </row>
    <row r="19" spans="1:32" x14ac:dyDescent="0.25">
      <c r="A19" s="20" t="s">
        <v>68</v>
      </c>
      <c r="B19" s="66"/>
      <c r="C19" s="68"/>
      <c r="D19" s="73"/>
      <c r="E19" s="69"/>
      <c r="F19" s="72"/>
      <c r="G19" s="69"/>
      <c r="H19" s="72"/>
      <c r="I19" s="68"/>
      <c r="J19" s="67"/>
      <c r="K19" s="66"/>
      <c r="L19" s="247"/>
      <c r="M19" s="67"/>
      <c r="N19" s="67"/>
      <c r="O19" s="72"/>
      <c r="P19" s="73"/>
      <c r="Q19" s="67"/>
      <c r="R19" s="67"/>
      <c r="S19" s="69"/>
      <c r="T19" s="72"/>
      <c r="U19" s="68"/>
      <c r="V19" s="68"/>
      <c r="W19" s="67"/>
      <c r="X19" s="66"/>
      <c r="Y19" s="69"/>
      <c r="Z19" s="72"/>
      <c r="AA19" s="69"/>
      <c r="AB19" s="72"/>
      <c r="AC19" s="68"/>
      <c r="AD19" s="246">
        <v>2024</v>
      </c>
      <c r="AE19" s="246">
        <v>2024</v>
      </c>
    </row>
    <row r="20" spans="1:32" x14ac:dyDescent="0.25">
      <c r="A20" s="20" t="s">
        <v>69</v>
      </c>
      <c r="B20" s="57">
        <v>2022</v>
      </c>
      <c r="C20" s="71">
        <v>2019</v>
      </c>
      <c r="D20" s="58">
        <v>2022</v>
      </c>
      <c r="E20" s="75">
        <v>2016</v>
      </c>
      <c r="F20" s="252">
        <v>2024</v>
      </c>
      <c r="G20" s="253">
        <v>2024</v>
      </c>
      <c r="H20" s="80"/>
      <c r="I20" s="53">
        <v>2023</v>
      </c>
      <c r="J20" s="62">
        <v>2024</v>
      </c>
      <c r="K20" s="52"/>
      <c r="L20" s="261">
        <v>2024</v>
      </c>
      <c r="M20" s="62">
        <v>2024</v>
      </c>
      <c r="N20" s="62">
        <v>2023</v>
      </c>
      <c r="O20" s="61">
        <v>2022</v>
      </c>
      <c r="P20" s="64"/>
      <c r="Q20" s="62">
        <v>2023</v>
      </c>
      <c r="R20" s="67"/>
      <c r="S20" s="60">
        <v>2023</v>
      </c>
      <c r="T20" s="72"/>
      <c r="U20" s="53"/>
      <c r="V20" s="53"/>
      <c r="W20" s="70"/>
      <c r="X20" s="66"/>
      <c r="Y20" s="50">
        <v>2022</v>
      </c>
      <c r="Z20" s="61">
        <v>2023</v>
      </c>
      <c r="AA20" s="50">
        <v>2023</v>
      </c>
      <c r="AB20" s="61">
        <v>2024</v>
      </c>
      <c r="AC20" s="259">
        <v>2024</v>
      </c>
      <c r="AD20" s="246">
        <v>2024</v>
      </c>
      <c r="AE20" s="246">
        <v>2024</v>
      </c>
      <c r="AF20" s="3" t="s">
        <v>70</v>
      </c>
    </row>
    <row r="21" spans="1:32" x14ac:dyDescent="0.25">
      <c r="A21" s="20" t="s">
        <v>71</v>
      </c>
      <c r="B21" s="57">
        <v>2022</v>
      </c>
      <c r="C21" s="53">
        <v>2016</v>
      </c>
      <c r="D21" s="58">
        <v>2022</v>
      </c>
      <c r="E21" s="50">
        <v>2016</v>
      </c>
      <c r="F21" s="61">
        <v>2024</v>
      </c>
      <c r="G21" s="50">
        <v>2024</v>
      </c>
      <c r="H21" s="61">
        <v>2023</v>
      </c>
      <c r="I21" s="53">
        <v>2016</v>
      </c>
      <c r="J21" s="62">
        <v>2024</v>
      </c>
      <c r="K21" s="52">
        <v>2019</v>
      </c>
      <c r="L21" s="53">
        <v>2022</v>
      </c>
      <c r="M21" s="62">
        <v>2023</v>
      </c>
      <c r="N21" s="62">
        <v>2022</v>
      </c>
      <c r="O21" s="61">
        <v>2017</v>
      </c>
      <c r="P21" s="64"/>
      <c r="Q21" s="62">
        <v>2020</v>
      </c>
      <c r="R21" s="62">
        <v>2023</v>
      </c>
      <c r="S21" s="50">
        <v>2023</v>
      </c>
      <c r="T21" s="72"/>
      <c r="U21" s="53">
        <v>2023</v>
      </c>
      <c r="V21" s="53">
        <v>2023</v>
      </c>
      <c r="W21" s="62">
        <v>2024</v>
      </c>
      <c r="X21" s="52">
        <v>2022</v>
      </c>
      <c r="Y21" s="50">
        <v>2022</v>
      </c>
      <c r="Z21" s="61">
        <v>2015</v>
      </c>
      <c r="AA21" s="50">
        <v>2009</v>
      </c>
      <c r="AB21" s="61">
        <v>2016</v>
      </c>
      <c r="AC21" s="53">
        <v>2017</v>
      </c>
      <c r="AD21" s="246">
        <v>2024</v>
      </c>
      <c r="AE21" s="246">
        <v>2024</v>
      </c>
      <c r="AF21" s="3" t="s">
        <v>42</v>
      </c>
    </row>
    <row r="22" spans="1:32" x14ac:dyDescent="0.25">
      <c r="A22" s="20" t="s">
        <v>72</v>
      </c>
      <c r="B22" s="57">
        <v>2022</v>
      </c>
      <c r="C22" s="53">
        <v>2016</v>
      </c>
      <c r="D22" s="58">
        <v>2022</v>
      </c>
      <c r="E22" s="50">
        <v>2016</v>
      </c>
      <c r="F22" s="61">
        <v>2024</v>
      </c>
      <c r="G22" s="50">
        <v>2024</v>
      </c>
      <c r="H22" s="61">
        <v>2009</v>
      </c>
      <c r="I22" s="53">
        <v>2016</v>
      </c>
      <c r="J22" s="62">
        <v>2024</v>
      </c>
      <c r="K22" s="52">
        <v>2019</v>
      </c>
      <c r="L22" s="53">
        <v>2022</v>
      </c>
      <c r="M22" s="62">
        <v>2023</v>
      </c>
      <c r="N22" s="62">
        <v>2022</v>
      </c>
      <c r="O22" s="61">
        <v>2017</v>
      </c>
      <c r="P22" s="64"/>
      <c r="Q22" s="62">
        <v>2020</v>
      </c>
      <c r="R22" s="62">
        <v>2023</v>
      </c>
      <c r="S22" s="50">
        <v>2014</v>
      </c>
      <c r="T22" s="61">
        <v>2011</v>
      </c>
      <c r="U22" s="53">
        <v>2023</v>
      </c>
      <c r="V22" s="53">
        <v>2023</v>
      </c>
      <c r="W22" s="62">
        <v>2022</v>
      </c>
      <c r="X22" s="52">
        <v>2022</v>
      </c>
      <c r="Y22" s="50">
        <v>2022</v>
      </c>
      <c r="Z22" s="61">
        <v>2015</v>
      </c>
      <c r="AA22" s="50">
        <v>2009</v>
      </c>
      <c r="AB22" s="61">
        <v>2016</v>
      </c>
      <c r="AC22" s="53">
        <v>2017</v>
      </c>
      <c r="AD22" s="246">
        <v>2024</v>
      </c>
      <c r="AE22" s="246">
        <v>2024</v>
      </c>
      <c r="AF22" s="3" t="s">
        <v>42</v>
      </c>
    </row>
    <row r="23" spans="1:32" x14ac:dyDescent="0.25">
      <c r="A23" s="20" t="s">
        <v>73</v>
      </c>
      <c r="B23" s="66"/>
      <c r="C23" s="53">
        <v>2006</v>
      </c>
      <c r="D23" s="73"/>
      <c r="E23" s="50">
        <v>2016</v>
      </c>
      <c r="F23" s="254"/>
      <c r="G23" s="255"/>
      <c r="H23" s="61">
        <v>2023</v>
      </c>
      <c r="I23" s="53">
        <v>2016</v>
      </c>
      <c r="J23" s="244"/>
      <c r="K23" s="52">
        <v>2019</v>
      </c>
      <c r="L23" s="68"/>
      <c r="M23" s="67"/>
      <c r="N23" s="67"/>
      <c r="O23" s="61">
        <v>2017</v>
      </c>
      <c r="P23" s="64"/>
      <c r="Q23" s="67"/>
      <c r="R23" s="67"/>
      <c r="S23" s="69"/>
      <c r="T23" s="61">
        <v>2011</v>
      </c>
      <c r="U23" s="68"/>
      <c r="V23" s="68"/>
      <c r="W23" s="62">
        <v>2024</v>
      </c>
      <c r="X23" s="66"/>
      <c r="Y23" s="69"/>
      <c r="Z23" s="61">
        <v>2015</v>
      </c>
      <c r="AA23" s="50">
        <v>2009</v>
      </c>
      <c r="AB23" s="249">
        <v>2024</v>
      </c>
      <c r="AC23" s="53">
        <v>2017</v>
      </c>
      <c r="AD23" s="247"/>
      <c r="AE23" s="247"/>
      <c r="AF23" s="3" t="s">
        <v>42</v>
      </c>
    </row>
    <row r="24" spans="1:32" x14ac:dyDescent="0.25">
      <c r="A24" s="20" t="s">
        <v>74</v>
      </c>
      <c r="B24" s="57">
        <v>2022</v>
      </c>
      <c r="C24" s="53">
        <v>2016</v>
      </c>
      <c r="D24" s="58">
        <v>2022</v>
      </c>
      <c r="E24" s="50">
        <v>2016</v>
      </c>
      <c r="F24" s="61">
        <v>2024</v>
      </c>
      <c r="G24" s="50">
        <v>2024</v>
      </c>
      <c r="H24" s="61">
        <v>2009</v>
      </c>
      <c r="I24" s="53">
        <v>2016</v>
      </c>
      <c r="J24" s="62">
        <v>2024</v>
      </c>
      <c r="K24" s="52">
        <v>2019</v>
      </c>
      <c r="L24" s="53">
        <v>2022</v>
      </c>
      <c r="M24" s="62">
        <v>2023</v>
      </c>
      <c r="N24" s="62">
        <v>2019</v>
      </c>
      <c r="O24" s="61">
        <v>2017</v>
      </c>
      <c r="P24" s="64"/>
      <c r="Q24" s="62">
        <v>2020</v>
      </c>
      <c r="R24" s="62">
        <v>2023</v>
      </c>
      <c r="S24" s="50">
        <v>2014</v>
      </c>
      <c r="T24" s="61">
        <v>2011</v>
      </c>
      <c r="U24" s="53">
        <v>2023</v>
      </c>
      <c r="V24" s="53">
        <v>2023</v>
      </c>
      <c r="W24" s="62">
        <v>2014</v>
      </c>
      <c r="X24" s="52">
        <v>2022</v>
      </c>
      <c r="Y24" s="50">
        <v>2022</v>
      </c>
      <c r="Z24" s="61">
        <v>2015</v>
      </c>
      <c r="AA24" s="50">
        <v>2009</v>
      </c>
      <c r="AB24" s="61">
        <v>2024</v>
      </c>
      <c r="AC24" s="53">
        <v>2017</v>
      </c>
      <c r="AD24" s="246">
        <v>2024</v>
      </c>
      <c r="AE24" s="246">
        <v>2024</v>
      </c>
      <c r="AF24" s="3" t="s">
        <v>42</v>
      </c>
    </row>
    <row r="25" spans="1:32" x14ac:dyDescent="0.25">
      <c r="A25" s="20" t="s">
        <v>75</v>
      </c>
      <c r="B25" s="57">
        <v>2022</v>
      </c>
      <c r="C25" s="53">
        <v>2019</v>
      </c>
      <c r="D25" s="58"/>
      <c r="E25" s="50">
        <v>2019</v>
      </c>
      <c r="F25" s="61">
        <v>2024</v>
      </c>
      <c r="G25" s="50">
        <v>2024</v>
      </c>
      <c r="H25" s="249">
        <v>2024</v>
      </c>
      <c r="I25" s="53">
        <v>2017</v>
      </c>
      <c r="J25" s="62">
        <v>2024</v>
      </c>
      <c r="K25" s="52">
        <v>2017</v>
      </c>
      <c r="L25" s="53">
        <v>2022</v>
      </c>
      <c r="M25" s="62">
        <v>2023</v>
      </c>
      <c r="N25" s="62">
        <v>2022</v>
      </c>
      <c r="O25" s="61">
        <v>2017</v>
      </c>
      <c r="P25" s="264"/>
      <c r="Q25" s="62">
        <v>2020</v>
      </c>
      <c r="R25" s="62">
        <v>2023</v>
      </c>
      <c r="S25" s="242">
        <v>2024</v>
      </c>
      <c r="T25" s="61">
        <v>2017</v>
      </c>
      <c r="U25" s="53">
        <v>2023</v>
      </c>
      <c r="V25" s="53">
        <v>2023</v>
      </c>
      <c r="W25" s="62">
        <v>2022</v>
      </c>
      <c r="X25" s="52">
        <v>2022</v>
      </c>
      <c r="Y25" s="50">
        <v>2022</v>
      </c>
      <c r="Z25" s="61">
        <v>2023</v>
      </c>
      <c r="AA25" s="50">
        <v>2023</v>
      </c>
      <c r="AB25" s="61">
        <v>2019</v>
      </c>
      <c r="AC25" s="53">
        <v>2024</v>
      </c>
      <c r="AD25" s="246">
        <v>2024</v>
      </c>
      <c r="AE25" s="246">
        <v>2024</v>
      </c>
      <c r="AF25" s="3" t="s">
        <v>76</v>
      </c>
    </row>
    <row r="26" spans="1:32" x14ac:dyDescent="0.25">
      <c r="A26" s="20" t="s">
        <v>77</v>
      </c>
      <c r="B26" s="66"/>
      <c r="C26" s="68"/>
      <c r="D26" s="73"/>
      <c r="E26" s="69"/>
      <c r="F26" s="72"/>
      <c r="G26" s="69"/>
      <c r="H26" s="72"/>
      <c r="I26" s="68"/>
      <c r="J26" s="62">
        <v>2024</v>
      </c>
      <c r="K26" s="66"/>
      <c r="L26" s="68"/>
      <c r="M26" s="69"/>
      <c r="N26" s="50">
        <v>2023</v>
      </c>
      <c r="O26" s="72"/>
      <c r="P26" s="73"/>
      <c r="Q26" s="67"/>
      <c r="R26" s="67"/>
      <c r="S26" s="69"/>
      <c r="T26" s="72"/>
      <c r="U26" s="68"/>
      <c r="V26" s="68"/>
      <c r="W26" s="62">
        <v>2023</v>
      </c>
      <c r="X26" s="66"/>
      <c r="Y26" s="69"/>
      <c r="Z26" s="72"/>
      <c r="AA26" s="69"/>
      <c r="AB26" s="72"/>
      <c r="AC26" s="68"/>
      <c r="AD26" s="246">
        <v>2024</v>
      </c>
      <c r="AE26" s="246">
        <v>2024</v>
      </c>
      <c r="AF26" s="3" t="s">
        <v>76</v>
      </c>
    </row>
    <row r="27" spans="1:32" x14ac:dyDescent="0.25">
      <c r="A27" s="20" t="s">
        <v>78</v>
      </c>
      <c r="B27" s="57">
        <v>2022</v>
      </c>
      <c r="C27" s="53">
        <v>2016</v>
      </c>
      <c r="D27" s="58">
        <v>2022</v>
      </c>
      <c r="E27" s="50">
        <v>2016</v>
      </c>
      <c r="F27" s="61">
        <v>2024</v>
      </c>
      <c r="G27" s="50">
        <v>2024</v>
      </c>
      <c r="H27" s="61"/>
      <c r="I27" s="53"/>
      <c r="J27" s="62">
        <v>2024</v>
      </c>
      <c r="K27" s="52"/>
      <c r="L27" s="53">
        <v>2022</v>
      </c>
      <c r="M27" s="62">
        <v>2023</v>
      </c>
      <c r="N27" s="62">
        <v>2022</v>
      </c>
      <c r="O27" s="61">
        <v>2017</v>
      </c>
      <c r="P27" s="264"/>
      <c r="Q27" s="62">
        <v>2023</v>
      </c>
      <c r="R27" s="62">
        <v>2023</v>
      </c>
      <c r="S27" s="50">
        <v>2024</v>
      </c>
      <c r="T27" s="61"/>
      <c r="U27" s="53"/>
      <c r="V27" s="53"/>
      <c r="W27" s="62"/>
      <c r="X27" s="52"/>
      <c r="Y27" s="50">
        <v>2022</v>
      </c>
      <c r="Z27" s="61">
        <v>2015</v>
      </c>
      <c r="AA27" s="50">
        <v>2009</v>
      </c>
      <c r="AB27" s="61"/>
      <c r="AC27" s="53">
        <v>2017</v>
      </c>
      <c r="AD27" s="246">
        <v>2024</v>
      </c>
      <c r="AE27" s="246">
        <v>2024</v>
      </c>
      <c r="AF27" s="3" t="s">
        <v>42</v>
      </c>
    </row>
    <row r="28" spans="1:32" x14ac:dyDescent="0.25">
      <c r="A28" s="20" t="s">
        <v>79</v>
      </c>
      <c r="B28" s="57">
        <v>1</v>
      </c>
      <c r="C28" s="82"/>
      <c r="D28" s="58">
        <v>1</v>
      </c>
      <c r="E28" s="83"/>
      <c r="F28" s="84"/>
      <c r="G28" s="83"/>
      <c r="H28" s="84"/>
      <c r="I28" s="82"/>
      <c r="J28" s="85"/>
      <c r="K28" s="87"/>
      <c r="L28" s="88"/>
      <c r="M28" s="85"/>
      <c r="N28" s="85"/>
      <c r="O28" s="84"/>
      <c r="P28" s="89"/>
      <c r="Q28" s="85"/>
      <c r="R28" s="85"/>
      <c r="S28" s="83"/>
      <c r="T28" s="84"/>
      <c r="U28" s="82"/>
      <c r="V28" s="82"/>
      <c r="W28" s="86"/>
      <c r="X28" s="90"/>
      <c r="Y28" s="91"/>
      <c r="Z28" s="84"/>
      <c r="AA28" s="83"/>
      <c r="AB28" s="84"/>
      <c r="AC28" s="89"/>
      <c r="AD28" s="82"/>
      <c r="AE28" s="82"/>
    </row>
    <row r="29" spans="1:32" x14ac:dyDescent="0.25">
      <c r="A29" s="20" t="s">
        <v>80</v>
      </c>
      <c r="B29" s="57">
        <v>1</v>
      </c>
      <c r="C29" s="82"/>
      <c r="D29" s="58">
        <v>1</v>
      </c>
      <c r="E29" s="83"/>
      <c r="F29" s="84"/>
      <c r="G29" s="83"/>
      <c r="H29" s="84"/>
      <c r="I29" s="82"/>
      <c r="J29" s="85"/>
      <c r="K29" s="87"/>
      <c r="L29" s="88"/>
      <c r="M29" s="85"/>
      <c r="N29" s="85"/>
      <c r="O29" s="84"/>
      <c r="P29" s="89"/>
      <c r="Q29" s="85"/>
      <c r="R29" s="85"/>
      <c r="S29" s="83"/>
      <c r="T29" s="84"/>
      <c r="U29" s="82"/>
      <c r="V29" s="82"/>
      <c r="W29" s="86"/>
      <c r="X29" s="90"/>
      <c r="Y29" s="91"/>
      <c r="Z29" s="84"/>
      <c r="AA29" s="83"/>
      <c r="AB29" s="84"/>
      <c r="AC29" s="89"/>
      <c r="AD29" s="82"/>
      <c r="AE29" s="82"/>
      <c r="AF29" s="3" t="s">
        <v>42</v>
      </c>
    </row>
    <row r="30" spans="1:32" x14ac:dyDescent="0.25">
      <c r="A30" s="20" t="s">
        <v>81</v>
      </c>
      <c r="B30" s="57">
        <v>1</v>
      </c>
      <c r="C30" s="82"/>
      <c r="D30" s="58">
        <v>1</v>
      </c>
      <c r="E30" s="83"/>
      <c r="F30" s="84"/>
      <c r="G30" s="83"/>
      <c r="H30" s="92"/>
      <c r="I30" s="82"/>
      <c r="J30" s="85"/>
      <c r="K30" s="87"/>
      <c r="L30" s="88"/>
      <c r="M30" s="85"/>
      <c r="N30" s="85"/>
      <c r="O30" s="84"/>
      <c r="P30" s="89"/>
      <c r="Q30" s="85"/>
      <c r="R30" s="85"/>
      <c r="S30" s="83"/>
      <c r="T30" s="84"/>
      <c r="U30" s="82"/>
      <c r="V30" s="82"/>
      <c r="W30" s="86"/>
      <c r="X30" s="90"/>
      <c r="Y30" s="91"/>
      <c r="Z30" s="84"/>
      <c r="AA30" s="83"/>
      <c r="AB30" s="84"/>
      <c r="AC30" s="89"/>
      <c r="AD30" s="82"/>
      <c r="AE30" s="82">
        <v>1</v>
      </c>
    </row>
    <row r="31" spans="1:32" x14ac:dyDescent="0.25">
      <c r="A31" s="20" t="s">
        <v>82</v>
      </c>
      <c r="B31" s="87">
        <v>4</v>
      </c>
      <c r="C31" s="82">
        <v>4</v>
      </c>
      <c r="D31" s="89">
        <v>4</v>
      </c>
      <c r="E31" s="83">
        <v>4</v>
      </c>
      <c r="F31" s="84">
        <v>4</v>
      </c>
      <c r="G31" s="83">
        <v>4</v>
      </c>
      <c r="H31" s="84">
        <v>4</v>
      </c>
      <c r="I31" s="82">
        <v>4</v>
      </c>
      <c r="J31" s="85">
        <v>4</v>
      </c>
      <c r="K31" s="87">
        <v>4</v>
      </c>
      <c r="L31" s="82">
        <v>4</v>
      </c>
      <c r="M31" s="85">
        <v>4</v>
      </c>
      <c r="N31" s="85">
        <v>4</v>
      </c>
      <c r="O31" s="84">
        <v>4</v>
      </c>
      <c r="P31" s="89">
        <v>4</v>
      </c>
      <c r="Q31" s="85">
        <v>4</v>
      </c>
      <c r="R31" s="85">
        <v>0</v>
      </c>
      <c r="S31" s="83">
        <v>4</v>
      </c>
      <c r="T31" s="84">
        <v>0</v>
      </c>
      <c r="U31" s="82">
        <v>4</v>
      </c>
      <c r="V31" s="82">
        <v>4</v>
      </c>
      <c r="W31" s="85">
        <v>4</v>
      </c>
      <c r="X31" s="87"/>
      <c r="Y31" s="83"/>
      <c r="Z31" s="84"/>
      <c r="AA31" s="83"/>
      <c r="AB31" s="84">
        <v>4</v>
      </c>
      <c r="AC31" s="89">
        <v>4</v>
      </c>
      <c r="AD31" s="82"/>
      <c r="AE31" s="82">
        <v>4</v>
      </c>
    </row>
    <row r="32" spans="1:32" x14ac:dyDescent="0.25">
      <c r="A32" s="20" t="s">
        <v>83</v>
      </c>
      <c r="B32" s="87"/>
      <c r="C32" s="82"/>
      <c r="D32" s="89"/>
      <c r="E32" s="83"/>
      <c r="F32" s="84"/>
      <c r="G32" s="83"/>
      <c r="H32" s="93"/>
      <c r="I32" s="82"/>
      <c r="J32" s="85"/>
      <c r="K32" s="87"/>
      <c r="L32" s="82"/>
      <c r="M32" s="85"/>
      <c r="N32" s="85"/>
      <c r="O32" s="84"/>
      <c r="P32" s="89"/>
      <c r="Q32" s="85"/>
      <c r="R32" s="85"/>
      <c r="S32" s="83"/>
      <c r="T32" s="84"/>
      <c r="U32" s="82"/>
      <c r="V32" s="82"/>
      <c r="W32" s="85"/>
      <c r="X32" s="87"/>
      <c r="Y32" s="83"/>
      <c r="Z32" s="84"/>
      <c r="AA32" s="83"/>
      <c r="AB32" s="84"/>
      <c r="AC32" s="89"/>
      <c r="AD32" s="82"/>
      <c r="AE32" s="82"/>
    </row>
    <row r="33" spans="1:31" x14ac:dyDescent="0.25">
      <c r="A33" s="20" t="s">
        <v>84</v>
      </c>
      <c r="B33" s="87"/>
      <c r="C33" s="1"/>
      <c r="D33" s="1"/>
      <c r="E33" s="1"/>
      <c r="F33" s="84"/>
      <c r="G33" s="83"/>
      <c r="H33" s="94"/>
      <c r="I33" s="1"/>
      <c r="J33" s="95"/>
      <c r="K33" s="2"/>
      <c r="L33" s="1"/>
      <c r="M33" s="1"/>
      <c r="N33" s="1"/>
      <c r="O33" s="84"/>
      <c r="P33" s="82"/>
      <c r="Q33" s="94"/>
      <c r="R33" s="1"/>
      <c r="S33" s="83"/>
      <c r="T33" s="1"/>
      <c r="U33" s="94"/>
      <c r="V33" s="1"/>
      <c r="W33" s="95"/>
      <c r="X33" s="2"/>
      <c r="Y33" s="96"/>
      <c r="Z33" s="84"/>
      <c r="AA33" s="83"/>
      <c r="AB33" s="1"/>
      <c r="AC33" s="94"/>
      <c r="AD33" s="1"/>
      <c r="AE33" s="1"/>
    </row>
    <row r="34" spans="1:31" x14ac:dyDescent="0.25">
      <c r="A34" s="20" t="s">
        <v>85</v>
      </c>
      <c r="B34" s="87"/>
      <c r="C34" s="1"/>
      <c r="D34" s="1"/>
      <c r="E34" s="1"/>
      <c r="F34" s="84"/>
      <c r="G34" s="83"/>
      <c r="H34" s="94"/>
      <c r="I34" s="1"/>
      <c r="J34" s="95"/>
      <c r="K34" s="2"/>
      <c r="L34" s="1"/>
      <c r="M34" s="1"/>
      <c r="N34" s="1"/>
      <c r="O34" s="84"/>
      <c r="P34" s="82"/>
      <c r="Q34" s="94"/>
      <c r="R34" s="1"/>
      <c r="S34" s="83"/>
      <c r="T34" s="1"/>
      <c r="U34" s="94"/>
      <c r="V34" s="1"/>
      <c r="W34" s="95"/>
      <c r="X34" s="2"/>
      <c r="Y34" s="96"/>
      <c r="Z34" s="84"/>
      <c r="AA34" s="83"/>
      <c r="AB34" s="1"/>
      <c r="AC34" s="94"/>
      <c r="AD34" s="1"/>
      <c r="AE34" s="1"/>
    </row>
    <row r="35" spans="1:31" x14ac:dyDescent="0.25">
      <c r="A35" s="20" t="s">
        <v>86</v>
      </c>
      <c r="B35" s="87"/>
      <c r="C35" s="1"/>
      <c r="D35" s="1"/>
      <c r="E35" s="1"/>
      <c r="F35" s="84"/>
      <c r="G35" s="83"/>
      <c r="H35" s="94"/>
      <c r="I35" s="1"/>
      <c r="J35" s="95"/>
      <c r="K35" s="2"/>
      <c r="L35" s="1"/>
      <c r="M35" s="1"/>
      <c r="N35" s="1"/>
      <c r="O35" s="84"/>
      <c r="P35" s="82"/>
      <c r="Q35" s="94"/>
      <c r="R35" s="1"/>
      <c r="S35" s="83"/>
      <c r="T35" s="1"/>
      <c r="U35" s="94"/>
      <c r="V35" s="1"/>
      <c r="W35" s="95"/>
      <c r="X35" s="2"/>
      <c r="Y35" s="96"/>
      <c r="Z35" s="84"/>
      <c r="AA35" s="83"/>
      <c r="AB35" s="1"/>
      <c r="AC35" s="94"/>
      <c r="AD35" s="1"/>
      <c r="AE35" s="1"/>
    </row>
    <row r="36" spans="1:31" x14ac:dyDescent="0.25">
      <c r="A36" s="20" t="s">
        <v>87</v>
      </c>
      <c r="B36" s="87"/>
      <c r="C36" s="97"/>
      <c r="D36" s="97"/>
      <c r="E36" s="97"/>
      <c r="F36" s="84"/>
      <c r="G36" s="83"/>
      <c r="H36" s="98"/>
      <c r="I36" s="97"/>
      <c r="J36" s="99"/>
      <c r="K36" s="2"/>
      <c r="L36" s="1"/>
      <c r="M36" s="1"/>
      <c r="N36" s="1"/>
      <c r="O36" s="84"/>
      <c r="P36" s="100"/>
      <c r="Q36" s="1"/>
      <c r="R36" s="95"/>
      <c r="S36" s="83"/>
      <c r="T36" s="1"/>
      <c r="U36" s="94"/>
      <c r="V36" s="1"/>
      <c r="W36" s="95"/>
      <c r="X36" s="2"/>
      <c r="Y36" s="96"/>
      <c r="Z36" s="84"/>
      <c r="AA36" s="83"/>
      <c r="AB36" s="1"/>
      <c r="AC36" s="94"/>
      <c r="AD36" s="1"/>
      <c r="AE36" s="1"/>
    </row>
    <row r="37" spans="1:31" x14ac:dyDescent="0.25">
      <c r="A37" s="101" t="s">
        <v>485</v>
      </c>
      <c r="B37" s="102" t="s">
        <v>88</v>
      </c>
      <c r="C37" s="103" t="s">
        <v>88</v>
      </c>
      <c r="D37" s="104" t="s">
        <v>88</v>
      </c>
      <c r="E37" s="105" t="s">
        <v>88</v>
      </c>
      <c r="F37" s="106" t="s">
        <v>88</v>
      </c>
      <c r="G37" s="107" t="s">
        <v>88</v>
      </c>
      <c r="H37" s="108" t="s">
        <v>88</v>
      </c>
      <c r="I37" s="103" t="s">
        <v>88</v>
      </c>
      <c r="J37" s="105" t="s">
        <v>88</v>
      </c>
      <c r="K37" s="102" t="s">
        <v>88</v>
      </c>
      <c r="L37" s="110" t="s">
        <v>88</v>
      </c>
      <c r="M37" s="111" t="s">
        <v>88</v>
      </c>
      <c r="N37" s="111" t="s">
        <v>88</v>
      </c>
      <c r="O37" s="84" t="s">
        <v>88</v>
      </c>
      <c r="P37" s="100" t="s">
        <v>90</v>
      </c>
      <c r="Q37" s="111" t="s">
        <v>88</v>
      </c>
      <c r="R37" s="112" t="s">
        <v>88</v>
      </c>
      <c r="S37" s="107" t="s">
        <v>88</v>
      </c>
      <c r="T37" s="110" t="s">
        <v>88</v>
      </c>
      <c r="U37" s="112" t="s">
        <v>88</v>
      </c>
      <c r="V37" s="110" t="s">
        <v>88</v>
      </c>
      <c r="W37" s="109" t="s">
        <v>88</v>
      </c>
      <c r="X37" s="102"/>
      <c r="Y37" s="107"/>
      <c r="Z37" s="84" t="s">
        <v>88</v>
      </c>
      <c r="AA37" s="107" t="s">
        <v>88</v>
      </c>
      <c r="AB37" s="110" t="s">
        <v>88</v>
      </c>
      <c r="AC37" s="112" t="s">
        <v>88</v>
      </c>
      <c r="AD37" s="110" t="s">
        <v>88</v>
      </c>
      <c r="AE37" s="110" t="s">
        <v>88</v>
      </c>
    </row>
    <row r="38" spans="1:31" s="118" customFormat="1" x14ac:dyDescent="0.25">
      <c r="A38" s="113" t="s">
        <v>89</v>
      </c>
      <c r="B38" s="114" t="s">
        <v>90</v>
      </c>
      <c r="C38" s="97" t="s">
        <v>90</v>
      </c>
      <c r="D38" s="115" t="s">
        <v>90</v>
      </c>
      <c r="E38" s="116" t="s">
        <v>90</v>
      </c>
      <c r="F38" s="117" t="s">
        <v>88</v>
      </c>
      <c r="G38" s="116" t="s">
        <v>88</v>
      </c>
      <c r="H38" s="117" t="s">
        <v>88</v>
      </c>
      <c r="I38" s="97" t="s">
        <v>88</v>
      </c>
      <c r="J38" s="99" t="s">
        <v>88</v>
      </c>
      <c r="K38" s="117" t="s">
        <v>88</v>
      </c>
      <c r="L38" s="97" t="s">
        <v>88</v>
      </c>
      <c r="M38" s="98" t="s">
        <v>88</v>
      </c>
      <c r="N38" s="98" t="s">
        <v>88</v>
      </c>
      <c r="O38" s="84" t="s">
        <v>90</v>
      </c>
      <c r="P38" s="100" t="s">
        <v>90</v>
      </c>
      <c r="Q38" s="98" t="s">
        <v>90</v>
      </c>
      <c r="R38" s="115" t="s">
        <v>88</v>
      </c>
      <c r="S38" s="83" t="s">
        <v>88</v>
      </c>
      <c r="T38" s="97" t="s">
        <v>88</v>
      </c>
      <c r="U38" s="98" t="s">
        <v>88</v>
      </c>
      <c r="V38" s="98" t="s">
        <v>88</v>
      </c>
      <c r="W38" s="99" t="s">
        <v>88</v>
      </c>
      <c r="X38" s="117"/>
      <c r="Y38" s="116"/>
      <c r="Z38" s="84" t="s">
        <v>90</v>
      </c>
      <c r="AA38" s="83" t="s">
        <v>90</v>
      </c>
      <c r="AB38" s="97" t="s">
        <v>88</v>
      </c>
      <c r="AC38" s="115" t="s">
        <v>88</v>
      </c>
      <c r="AD38" s="97" t="s">
        <v>88</v>
      </c>
      <c r="AE38" s="97" t="s">
        <v>88</v>
      </c>
    </row>
    <row r="39" spans="1:31" s="64" customFormat="1" x14ac:dyDescent="0.25">
      <c r="A39" s="62" t="s">
        <v>91</v>
      </c>
      <c r="B39" s="52"/>
      <c r="C39" s="119"/>
      <c r="D39" s="52"/>
      <c r="E39" s="52"/>
      <c r="F39" s="53"/>
      <c r="G39" s="53"/>
      <c r="H39" s="53"/>
      <c r="I39" s="53"/>
      <c r="J39" s="53"/>
      <c r="K39" s="63"/>
      <c r="L39" s="53"/>
      <c r="M39" s="53"/>
      <c r="N39" s="53"/>
      <c r="O39" s="53"/>
      <c r="P39" s="53" t="s">
        <v>92</v>
      </c>
      <c r="Q39" s="53"/>
      <c r="R39" s="53"/>
      <c r="S39" s="53"/>
      <c r="T39" s="53"/>
      <c r="U39" s="53"/>
      <c r="V39" s="53"/>
      <c r="W39" s="53"/>
      <c r="X39" s="63"/>
      <c r="Y39" s="53"/>
      <c r="Z39" s="53"/>
      <c r="AA39" s="53"/>
      <c r="AB39" s="53"/>
      <c r="AC39" s="53"/>
      <c r="AD39" s="53"/>
      <c r="AE39" s="53"/>
    </row>
    <row r="40" spans="1:31" s="121" customFormat="1" x14ac:dyDescent="0.25">
      <c r="A40" s="86" t="s">
        <v>93</v>
      </c>
      <c r="B40" s="90"/>
      <c r="C40" s="120"/>
      <c r="D40" s="90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</row>
    <row r="41" spans="1:31" s="122" customFormat="1" x14ac:dyDescent="0.25">
      <c r="A41" s="81" t="s">
        <v>94</v>
      </c>
      <c r="B41" s="78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</row>
    <row r="42" spans="1:31" s="58" customFormat="1" x14ac:dyDescent="0.25">
      <c r="A42" s="70" t="s">
        <v>95</v>
      </c>
      <c r="B42" s="57"/>
      <c r="C42" s="123"/>
      <c r="D42" s="57"/>
      <c r="E42" s="57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spans="1:31" s="126" customFormat="1" x14ac:dyDescent="0.25">
      <c r="A43" s="124" t="s">
        <v>96</v>
      </c>
      <c r="B43" s="125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</row>
    <row r="44" spans="1:31" s="132" customFormat="1" x14ac:dyDescent="0.25">
      <c r="A44" s="128" t="s">
        <v>97</v>
      </c>
      <c r="B44" s="129"/>
      <c r="C44" s="130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</row>
    <row r="45" spans="1:31" s="3" customFormat="1" x14ac:dyDescent="0.25">
      <c r="A45" s="133" t="s">
        <v>98</v>
      </c>
    </row>
    <row r="46" spans="1:31" s="3" customFormat="1" x14ac:dyDescent="0.25">
      <c r="A46" s="134"/>
    </row>
    <row r="47" spans="1:31" s="3" customFormat="1" x14ac:dyDescent="0.25"/>
    <row r="48" spans="1:31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45"/>
  <sheetViews>
    <sheetView zoomScaleNormal="100" workbookViewId="0"/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6" customWidth="1"/>
    <col min="11" max="12" width="7.28515625" style="3" customWidth="1"/>
    <col min="13" max="13" width="7.28515625" style="5" customWidth="1"/>
    <col min="14" max="14" width="7.28515625" style="4" customWidth="1"/>
    <col min="15" max="15" width="7.28515625" style="3" customWidth="1"/>
    <col min="16" max="16" width="7.28515625" style="5" customWidth="1"/>
    <col min="17" max="17" width="7.28515625" style="4" customWidth="1"/>
    <col min="18" max="19" width="7.28515625" style="3" customWidth="1"/>
    <col min="20" max="20" width="7.28515625" style="5" customWidth="1"/>
    <col min="21" max="21" width="7.28515625" style="4" customWidth="1"/>
    <col min="22" max="22" width="7.28515625" style="5" customWidth="1"/>
    <col min="23" max="23" width="7.28515625" style="4" customWidth="1"/>
    <col min="24" max="24" width="7.28515625" style="3" customWidth="1"/>
    <col min="25" max="25" width="8.140625" style="3" customWidth="1"/>
    <col min="26" max="1024" width="8.85546875" style="3"/>
  </cols>
  <sheetData>
    <row r="1" spans="1:32" s="19" customFormat="1" x14ac:dyDescent="0.25">
      <c r="A1" s="7"/>
      <c r="B1" s="8" t="s">
        <v>0</v>
      </c>
      <c r="C1" s="8" t="s">
        <v>0</v>
      </c>
      <c r="D1" s="8" t="s">
        <v>1</v>
      </c>
      <c r="E1" s="8" t="s">
        <v>1</v>
      </c>
      <c r="F1" s="9" t="s">
        <v>99</v>
      </c>
      <c r="G1" s="9" t="s">
        <v>2</v>
      </c>
      <c r="H1" s="10" t="s">
        <v>3</v>
      </c>
      <c r="I1" s="9" t="s">
        <v>4</v>
      </c>
      <c r="J1" s="11" t="s">
        <v>5</v>
      </c>
      <c r="K1" s="10" t="s">
        <v>6</v>
      </c>
      <c r="L1" s="14" t="s">
        <v>100</v>
      </c>
      <c r="M1" s="13" t="s">
        <v>7</v>
      </c>
      <c r="N1" s="13" t="s">
        <v>7</v>
      </c>
      <c r="O1" s="11" t="s">
        <v>8</v>
      </c>
      <c r="P1" s="12" t="s">
        <v>9</v>
      </c>
      <c r="Q1" s="135" t="s">
        <v>9</v>
      </c>
      <c r="R1" s="9" t="s">
        <v>10</v>
      </c>
      <c r="S1" s="16" t="s">
        <v>11</v>
      </c>
      <c r="T1" s="12" t="s">
        <v>11</v>
      </c>
      <c r="U1" s="10" t="s">
        <v>13</v>
      </c>
      <c r="V1" s="9" t="s">
        <v>14</v>
      </c>
      <c r="W1" s="11" t="s">
        <v>15</v>
      </c>
      <c r="X1" s="11" t="s">
        <v>16</v>
      </c>
      <c r="Y1" s="10" t="s">
        <v>101</v>
      </c>
      <c r="Z1" s="9" t="s">
        <v>19</v>
      </c>
      <c r="AA1" s="10" t="s">
        <v>20</v>
      </c>
      <c r="AB1" s="9" t="s">
        <v>21</v>
      </c>
      <c r="AC1" s="9" t="s">
        <v>22</v>
      </c>
      <c r="AD1" s="136" t="s">
        <v>102</v>
      </c>
      <c r="AE1" s="11" t="s">
        <v>23</v>
      </c>
    </row>
    <row r="2" spans="1:32" x14ac:dyDescent="0.25">
      <c r="A2" s="20" t="s">
        <v>24</v>
      </c>
      <c r="B2" s="21"/>
      <c r="C2" s="22"/>
      <c r="D2" s="23"/>
      <c r="E2" s="24"/>
      <c r="F2" s="25"/>
      <c r="G2" s="25"/>
      <c r="H2" s="24"/>
      <c r="I2" s="25"/>
      <c r="J2" s="22"/>
      <c r="K2" s="24"/>
      <c r="L2" s="137"/>
      <c r="M2" s="28"/>
      <c r="N2" s="28"/>
      <c r="O2" s="22"/>
      <c r="P2" s="26"/>
      <c r="Q2" s="24"/>
      <c r="R2" s="25"/>
      <c r="S2" s="22"/>
      <c r="T2" s="26"/>
      <c r="U2" s="24"/>
      <c r="V2" s="25"/>
      <c r="W2" s="22"/>
      <c r="X2" s="22"/>
      <c r="Y2" s="24"/>
      <c r="Z2" s="25"/>
      <c r="AA2" s="24"/>
      <c r="AB2" s="25"/>
      <c r="AC2" s="23"/>
      <c r="AD2" s="138"/>
      <c r="AE2" s="22"/>
    </row>
    <row r="3" spans="1:32" s="38" customFormat="1" x14ac:dyDescent="0.25">
      <c r="A3" s="29" t="s">
        <v>25</v>
      </c>
      <c r="B3" s="30" t="s">
        <v>26</v>
      </c>
      <c r="C3" s="30" t="s">
        <v>26</v>
      </c>
      <c r="D3" s="30" t="s">
        <v>26</v>
      </c>
      <c r="E3" s="30" t="s">
        <v>26</v>
      </c>
      <c r="F3" s="30" t="s">
        <v>26</v>
      </c>
      <c r="G3" s="30" t="s">
        <v>26</v>
      </c>
      <c r="H3" s="30" t="s">
        <v>26</v>
      </c>
      <c r="I3" s="31" t="s">
        <v>26</v>
      </c>
      <c r="J3" s="32" t="s">
        <v>26</v>
      </c>
      <c r="K3" s="34" t="s">
        <v>27</v>
      </c>
      <c r="L3" s="139"/>
      <c r="M3" s="34" t="s">
        <v>27</v>
      </c>
      <c r="N3" s="34" t="s">
        <v>27</v>
      </c>
      <c r="O3" s="34" t="s">
        <v>27</v>
      </c>
      <c r="P3" s="34" t="s">
        <v>27</v>
      </c>
      <c r="Q3" s="34" t="s">
        <v>27</v>
      </c>
      <c r="R3" s="31" t="s">
        <v>26</v>
      </c>
      <c r="S3" s="32" t="s">
        <v>26</v>
      </c>
      <c r="T3" s="35" t="s">
        <v>26</v>
      </c>
      <c r="U3" s="35" t="s">
        <v>26</v>
      </c>
      <c r="V3" s="31" t="s">
        <v>26</v>
      </c>
      <c r="W3" s="32" t="s">
        <v>26</v>
      </c>
      <c r="X3" s="32" t="s">
        <v>26</v>
      </c>
      <c r="Y3" s="35" t="s">
        <v>26</v>
      </c>
      <c r="Z3" s="30" t="s">
        <v>26</v>
      </c>
      <c r="AA3" s="37" t="s">
        <v>26</v>
      </c>
      <c r="AB3" s="31" t="s">
        <v>26</v>
      </c>
      <c r="AC3" s="140" t="s">
        <v>26</v>
      </c>
      <c r="AD3" s="141"/>
      <c r="AE3" s="32" t="s">
        <v>26</v>
      </c>
    </row>
    <row r="4" spans="1:32" s="38" customFormat="1" x14ac:dyDescent="0.25">
      <c r="A4" s="29" t="s">
        <v>31</v>
      </c>
      <c r="B4" s="39" t="s">
        <v>32</v>
      </c>
      <c r="C4" s="40" t="s">
        <v>26</v>
      </c>
      <c r="D4" s="41" t="s">
        <v>33</v>
      </c>
      <c r="E4" s="40" t="s">
        <v>26</v>
      </c>
      <c r="F4" s="142" t="s">
        <v>26</v>
      </c>
      <c r="G4" s="40" t="s">
        <v>26</v>
      </c>
      <c r="H4" s="40" t="s">
        <v>26</v>
      </c>
      <c r="I4" s="40" t="s">
        <v>26</v>
      </c>
      <c r="J4" s="42" t="s">
        <v>26</v>
      </c>
      <c r="K4" s="45" t="s">
        <v>27</v>
      </c>
      <c r="L4" s="143"/>
      <c r="M4" s="44" t="s">
        <v>27</v>
      </c>
      <c r="N4" s="44" t="s">
        <v>27</v>
      </c>
      <c r="O4" s="41" t="s">
        <v>103</v>
      </c>
      <c r="P4" s="44" t="s">
        <v>27</v>
      </c>
      <c r="Q4" s="45" t="s">
        <v>27</v>
      </c>
      <c r="R4" s="40" t="s">
        <v>26</v>
      </c>
      <c r="S4" s="49" t="s">
        <v>104</v>
      </c>
      <c r="T4" s="44" t="s">
        <v>26</v>
      </c>
      <c r="U4" s="45" t="s">
        <v>26</v>
      </c>
      <c r="V4" s="40" t="s">
        <v>26</v>
      </c>
      <c r="W4" s="42" t="s">
        <v>26</v>
      </c>
      <c r="X4" s="44" t="s">
        <v>26</v>
      </c>
      <c r="Y4" s="45" t="s">
        <v>26</v>
      </c>
      <c r="Z4" s="48" t="s">
        <v>26</v>
      </c>
      <c r="AA4" s="45" t="s">
        <v>26</v>
      </c>
      <c r="AB4" s="48" t="s">
        <v>26</v>
      </c>
      <c r="AC4" s="44" t="s">
        <v>26</v>
      </c>
      <c r="AD4" s="144"/>
      <c r="AE4" s="44" t="s">
        <v>26</v>
      </c>
    </row>
    <row r="5" spans="1:32" s="38" customFormat="1" x14ac:dyDescent="0.25">
      <c r="A5" s="29" t="s">
        <v>34</v>
      </c>
      <c r="B5" s="40" t="s">
        <v>35</v>
      </c>
      <c r="C5" s="43" t="s">
        <v>36</v>
      </c>
      <c r="D5" s="42" t="s">
        <v>35</v>
      </c>
      <c r="E5" s="42" t="s">
        <v>36</v>
      </c>
      <c r="F5" s="55" t="s">
        <v>36</v>
      </c>
      <c r="G5" s="48" t="s">
        <v>36</v>
      </c>
      <c r="H5" s="50" t="s">
        <v>36</v>
      </c>
      <c r="I5" s="51" t="s">
        <v>36</v>
      </c>
      <c r="J5" s="42" t="s">
        <v>36</v>
      </c>
      <c r="K5" s="45" t="s">
        <v>36</v>
      </c>
      <c r="L5" s="143"/>
      <c r="M5" s="145" t="s">
        <v>36</v>
      </c>
      <c r="N5" s="53" t="s">
        <v>35</v>
      </c>
      <c r="O5" s="49" t="s">
        <v>36</v>
      </c>
      <c r="P5" s="54" t="s">
        <v>35</v>
      </c>
      <c r="Q5" s="42" t="s">
        <v>36</v>
      </c>
      <c r="R5" s="55" t="s">
        <v>36</v>
      </c>
      <c r="S5" s="42" t="s">
        <v>36</v>
      </c>
      <c r="T5" s="43" t="s">
        <v>35</v>
      </c>
      <c r="U5" s="47" t="s">
        <v>36</v>
      </c>
      <c r="V5" s="54" t="s">
        <v>37</v>
      </c>
      <c r="W5" s="43" t="s">
        <v>36</v>
      </c>
      <c r="X5" s="42" t="s">
        <v>36</v>
      </c>
      <c r="Y5" s="146" t="s">
        <v>36</v>
      </c>
      <c r="Z5" s="55" t="s">
        <v>36</v>
      </c>
      <c r="AA5" s="50" t="s">
        <v>36</v>
      </c>
      <c r="AB5" s="51" t="s">
        <v>36</v>
      </c>
      <c r="AC5" s="42" t="s">
        <v>36</v>
      </c>
      <c r="AD5" s="147"/>
      <c r="AE5" s="42" t="s">
        <v>36</v>
      </c>
    </row>
    <row r="6" spans="1:32" x14ac:dyDescent="0.25">
      <c r="A6" s="20" t="s">
        <v>38</v>
      </c>
      <c r="B6" s="57">
        <v>2022</v>
      </c>
      <c r="C6" s="53">
        <v>2019</v>
      </c>
      <c r="D6" s="58">
        <v>2022</v>
      </c>
      <c r="E6" s="50">
        <v>2019</v>
      </c>
      <c r="F6" s="61">
        <v>2016</v>
      </c>
      <c r="G6" s="59">
        <v>2017</v>
      </c>
      <c r="H6" s="60">
        <v>2017</v>
      </c>
      <c r="I6" s="59">
        <v>2009</v>
      </c>
      <c r="J6" s="53">
        <v>2016</v>
      </c>
      <c r="K6" s="70">
        <v>2013</v>
      </c>
      <c r="L6" s="143"/>
      <c r="M6" s="148">
        <v>2019</v>
      </c>
      <c r="N6" s="148">
        <v>2022</v>
      </c>
      <c r="O6" s="65">
        <v>2017</v>
      </c>
      <c r="P6" s="70">
        <v>2022</v>
      </c>
      <c r="Q6" s="50">
        <v>2015</v>
      </c>
      <c r="R6" s="61">
        <v>2017</v>
      </c>
      <c r="S6" s="53">
        <v>2015</v>
      </c>
      <c r="T6" s="62">
        <v>2021</v>
      </c>
      <c r="U6" s="50">
        <v>2014</v>
      </c>
      <c r="V6" s="61">
        <v>2011</v>
      </c>
      <c r="W6" s="53">
        <v>2008</v>
      </c>
      <c r="X6" s="53">
        <v>2022</v>
      </c>
      <c r="Y6" s="60">
        <v>2021</v>
      </c>
      <c r="Z6" s="61">
        <v>2015</v>
      </c>
      <c r="AA6" s="50">
        <v>2009</v>
      </c>
      <c r="AB6" s="61">
        <v>2016</v>
      </c>
      <c r="AC6" s="53">
        <v>2016</v>
      </c>
      <c r="AD6" s="147"/>
      <c r="AE6" s="53">
        <v>2017</v>
      </c>
    </row>
    <row r="7" spans="1:32" x14ac:dyDescent="0.25">
      <c r="A7" s="20" t="s">
        <v>39</v>
      </c>
      <c r="B7" s="57">
        <v>2022</v>
      </c>
      <c r="C7" s="53">
        <v>2019</v>
      </c>
      <c r="D7" s="58">
        <v>2022</v>
      </c>
      <c r="E7" s="50">
        <v>2019</v>
      </c>
      <c r="F7" s="61">
        <v>2016</v>
      </c>
      <c r="G7" s="59">
        <v>2017</v>
      </c>
      <c r="H7" s="60">
        <v>2017</v>
      </c>
      <c r="I7" s="59">
        <v>2009</v>
      </c>
      <c r="J7" s="53">
        <v>2016</v>
      </c>
      <c r="K7" s="70">
        <v>2013</v>
      </c>
      <c r="L7" s="143"/>
      <c r="M7" s="145">
        <v>2019</v>
      </c>
      <c r="N7" s="145">
        <v>2022</v>
      </c>
      <c r="O7" s="65">
        <v>2017</v>
      </c>
      <c r="P7" s="70">
        <v>2022</v>
      </c>
      <c r="Q7" s="50">
        <v>2015</v>
      </c>
      <c r="R7" s="61">
        <v>2017</v>
      </c>
      <c r="S7" s="53">
        <v>2015</v>
      </c>
      <c r="T7" s="62">
        <v>2021</v>
      </c>
      <c r="U7" s="50">
        <v>2014</v>
      </c>
      <c r="V7" s="61">
        <v>2011</v>
      </c>
      <c r="W7" s="53">
        <v>2008</v>
      </c>
      <c r="X7" s="53">
        <v>2022</v>
      </c>
      <c r="Y7" s="50">
        <v>2021</v>
      </c>
      <c r="Z7" s="61">
        <v>2015</v>
      </c>
      <c r="AA7" s="50">
        <v>2009</v>
      </c>
      <c r="AB7" s="61">
        <v>2019</v>
      </c>
      <c r="AC7" s="53">
        <v>2016</v>
      </c>
      <c r="AD7" s="147"/>
      <c r="AE7" s="53">
        <v>2017</v>
      </c>
      <c r="AF7" s="3" t="s">
        <v>40</v>
      </c>
    </row>
    <row r="8" spans="1:32" x14ac:dyDescent="0.25">
      <c r="A8" s="20" t="s">
        <v>41</v>
      </c>
      <c r="B8" s="66"/>
      <c r="C8" s="53">
        <v>2019</v>
      </c>
      <c r="D8" s="67"/>
      <c r="E8" s="50">
        <v>2019</v>
      </c>
      <c r="F8" s="61">
        <v>2016</v>
      </c>
      <c r="G8" s="59">
        <v>2017</v>
      </c>
      <c r="H8" s="60">
        <v>2017</v>
      </c>
      <c r="I8" s="59">
        <v>2009</v>
      </c>
      <c r="J8" s="53">
        <v>2016</v>
      </c>
      <c r="K8" s="70">
        <v>2013</v>
      </c>
      <c r="L8" s="143"/>
      <c r="M8" s="145">
        <v>2019</v>
      </c>
      <c r="N8" s="149"/>
      <c r="O8" s="65">
        <v>2017</v>
      </c>
      <c r="P8" s="67"/>
      <c r="Q8" s="50">
        <v>2015</v>
      </c>
      <c r="R8" s="61">
        <v>2017</v>
      </c>
      <c r="S8" s="53">
        <v>2015</v>
      </c>
      <c r="T8" s="67"/>
      <c r="U8" s="50">
        <v>2014</v>
      </c>
      <c r="V8" s="61">
        <v>2011</v>
      </c>
      <c r="W8" s="53">
        <v>2008</v>
      </c>
      <c r="X8" s="53">
        <v>2022</v>
      </c>
      <c r="Y8" s="50">
        <v>2021</v>
      </c>
      <c r="Z8" s="61">
        <v>2015</v>
      </c>
      <c r="AA8" s="50">
        <v>2009</v>
      </c>
      <c r="AB8" s="61">
        <v>2017</v>
      </c>
      <c r="AC8" s="53">
        <v>2016</v>
      </c>
      <c r="AD8" s="147"/>
      <c r="AE8" s="53">
        <v>2017</v>
      </c>
      <c r="AF8" s="3" t="s">
        <v>42</v>
      </c>
    </row>
    <row r="9" spans="1:32" x14ac:dyDescent="0.25">
      <c r="A9" s="20" t="s">
        <v>43</v>
      </c>
      <c r="B9" s="66"/>
      <c r="C9" s="53">
        <v>2019</v>
      </c>
      <c r="D9" s="67"/>
      <c r="E9" s="50">
        <v>2019</v>
      </c>
      <c r="F9" s="59">
        <v>2016</v>
      </c>
      <c r="G9" s="59">
        <v>2017</v>
      </c>
      <c r="H9" s="60">
        <v>2017</v>
      </c>
      <c r="I9" s="59">
        <v>2015</v>
      </c>
      <c r="J9" s="53">
        <v>2019</v>
      </c>
      <c r="K9" s="70">
        <v>2019</v>
      </c>
      <c r="L9" s="143"/>
      <c r="M9" s="145">
        <v>2019</v>
      </c>
      <c r="N9" s="149"/>
      <c r="O9" s="65">
        <v>2016</v>
      </c>
      <c r="P9" s="67"/>
      <c r="Q9" s="50">
        <v>2019</v>
      </c>
      <c r="R9" s="61">
        <v>2019</v>
      </c>
      <c r="S9" s="53">
        <v>2019</v>
      </c>
      <c r="T9" s="67"/>
      <c r="U9" s="50">
        <v>2020</v>
      </c>
      <c r="V9" s="61">
        <v>2018</v>
      </c>
      <c r="W9" s="53">
        <v>2018</v>
      </c>
      <c r="X9" s="71">
        <v>2018</v>
      </c>
      <c r="Y9" s="60">
        <v>2018</v>
      </c>
      <c r="Z9" s="61">
        <v>2018</v>
      </c>
      <c r="AA9" s="50">
        <v>2018</v>
      </c>
      <c r="AB9" s="59">
        <v>2019</v>
      </c>
      <c r="AC9" s="71">
        <v>2016</v>
      </c>
      <c r="AD9" s="147"/>
      <c r="AE9" s="71">
        <v>2017</v>
      </c>
      <c r="AF9" s="3" t="s">
        <v>42</v>
      </c>
    </row>
    <row r="10" spans="1:32" x14ac:dyDescent="0.25">
      <c r="A10" s="20" t="s">
        <v>44</v>
      </c>
      <c r="B10" s="66"/>
      <c r="C10" s="71">
        <v>2019</v>
      </c>
      <c r="D10" s="67"/>
      <c r="E10" s="60">
        <v>2019</v>
      </c>
      <c r="F10" s="59">
        <v>2021</v>
      </c>
      <c r="G10" s="59">
        <v>2020</v>
      </c>
      <c r="H10" s="60">
        <v>2020</v>
      </c>
      <c r="I10" s="59">
        <v>2019</v>
      </c>
      <c r="J10" s="71">
        <v>2022</v>
      </c>
      <c r="K10" s="70">
        <v>2022</v>
      </c>
      <c r="L10" s="143"/>
      <c r="M10" s="150"/>
      <c r="N10" s="149"/>
      <c r="O10" s="65"/>
      <c r="P10" s="67"/>
      <c r="Q10" s="50"/>
      <c r="R10" s="59"/>
      <c r="S10" s="53"/>
      <c r="T10" s="67"/>
      <c r="U10" s="60"/>
      <c r="V10" s="59"/>
      <c r="W10" s="71"/>
      <c r="X10" s="71"/>
      <c r="Y10" s="60"/>
      <c r="Z10" s="59"/>
      <c r="AA10" s="60"/>
      <c r="AB10" s="59"/>
      <c r="AC10" s="71"/>
      <c r="AD10" s="147"/>
      <c r="AE10" s="71"/>
      <c r="AF10" s="3" t="s">
        <v>45</v>
      </c>
    </row>
    <row r="11" spans="1:32" x14ac:dyDescent="0.25">
      <c r="A11" s="20" t="s">
        <v>46</v>
      </c>
      <c r="B11" s="66"/>
      <c r="C11" s="53">
        <v>2019</v>
      </c>
      <c r="D11" s="67"/>
      <c r="E11" s="50">
        <v>2019</v>
      </c>
      <c r="F11" s="59">
        <v>2016</v>
      </c>
      <c r="G11" s="59">
        <v>2017</v>
      </c>
      <c r="H11" s="60">
        <v>2017</v>
      </c>
      <c r="I11" s="59">
        <v>2015</v>
      </c>
      <c r="J11" s="53">
        <v>2022</v>
      </c>
      <c r="K11" s="62">
        <v>2022</v>
      </c>
      <c r="L11" s="143"/>
      <c r="M11" s="145">
        <v>2019</v>
      </c>
      <c r="N11" s="149"/>
      <c r="O11" s="65">
        <v>2016</v>
      </c>
      <c r="P11" s="67"/>
      <c r="Q11" s="50">
        <v>2019</v>
      </c>
      <c r="R11" s="61">
        <v>2019</v>
      </c>
      <c r="S11" s="53">
        <v>2019</v>
      </c>
      <c r="T11" s="67"/>
      <c r="U11" s="50">
        <v>2020</v>
      </c>
      <c r="V11" s="59">
        <v>2018</v>
      </c>
      <c r="W11" s="71">
        <v>2018</v>
      </c>
      <c r="X11" s="71">
        <v>2018</v>
      </c>
      <c r="Y11" s="60">
        <v>2018</v>
      </c>
      <c r="Z11" s="59">
        <v>2018</v>
      </c>
      <c r="AA11" s="60">
        <v>2018</v>
      </c>
      <c r="AB11" s="59">
        <v>2019</v>
      </c>
      <c r="AC11" s="71">
        <v>2016</v>
      </c>
      <c r="AD11" s="147"/>
      <c r="AE11" s="71">
        <v>2017</v>
      </c>
      <c r="AF11" s="3" t="s">
        <v>47</v>
      </c>
    </row>
    <row r="12" spans="1:32" x14ac:dyDescent="0.25">
      <c r="A12" s="20" t="s">
        <v>48</v>
      </c>
      <c r="B12" s="57">
        <v>2022</v>
      </c>
      <c r="C12" s="67"/>
      <c r="D12" s="71">
        <v>2022</v>
      </c>
      <c r="E12" s="69"/>
      <c r="F12" s="72"/>
      <c r="G12" s="72"/>
      <c r="H12" s="69"/>
      <c r="I12" s="72"/>
      <c r="J12" s="68"/>
      <c r="K12" s="67"/>
      <c r="L12" s="143"/>
      <c r="M12" s="149"/>
      <c r="N12" s="150">
        <v>2022</v>
      </c>
      <c r="O12" s="149"/>
      <c r="P12" s="70">
        <v>2022</v>
      </c>
      <c r="Q12" s="69"/>
      <c r="R12" s="72"/>
      <c r="S12" s="68"/>
      <c r="T12" s="70">
        <v>2022</v>
      </c>
      <c r="U12" s="69"/>
      <c r="V12" s="72"/>
      <c r="W12" s="68"/>
      <c r="X12" s="68"/>
      <c r="Y12" s="69"/>
      <c r="Z12" s="72"/>
      <c r="AA12" s="69"/>
      <c r="AB12" s="72"/>
      <c r="AC12" s="68"/>
      <c r="AD12" s="147"/>
      <c r="AE12" s="68"/>
    </row>
    <row r="13" spans="1:32" x14ac:dyDescent="0.25">
      <c r="A13" s="20" t="s">
        <v>50</v>
      </c>
      <c r="B13" s="57">
        <v>2022</v>
      </c>
      <c r="C13" s="53">
        <v>2019</v>
      </c>
      <c r="D13" s="58">
        <v>2022</v>
      </c>
      <c r="E13" s="50">
        <v>2019</v>
      </c>
      <c r="F13" s="59">
        <v>2016</v>
      </c>
      <c r="G13" s="59">
        <v>2017</v>
      </c>
      <c r="H13" s="50">
        <v>2020</v>
      </c>
      <c r="I13" s="59">
        <v>2019</v>
      </c>
      <c r="J13" s="71">
        <v>2019</v>
      </c>
      <c r="K13" s="62">
        <v>2022</v>
      </c>
      <c r="L13" s="143"/>
      <c r="M13" s="145">
        <v>2022</v>
      </c>
      <c r="N13" s="145">
        <v>2022</v>
      </c>
      <c r="O13" s="65">
        <v>2019</v>
      </c>
      <c r="P13" s="62">
        <v>2022</v>
      </c>
      <c r="Q13" s="50">
        <v>2018</v>
      </c>
      <c r="R13" s="59">
        <v>2017</v>
      </c>
      <c r="S13" s="53">
        <v>2018</v>
      </c>
      <c r="T13" s="62">
        <v>2020</v>
      </c>
      <c r="U13" s="50">
        <v>2022</v>
      </c>
      <c r="V13" s="59">
        <v>2017</v>
      </c>
      <c r="W13" s="53">
        <v>2019</v>
      </c>
      <c r="X13" s="53">
        <v>2022</v>
      </c>
      <c r="Y13" s="75">
        <v>2018</v>
      </c>
      <c r="Z13" s="59">
        <v>2020</v>
      </c>
      <c r="AA13" s="60">
        <v>2020</v>
      </c>
      <c r="AB13" s="61">
        <v>2021</v>
      </c>
      <c r="AC13" s="53">
        <v>2016</v>
      </c>
      <c r="AD13" s="147"/>
      <c r="AE13" s="53">
        <v>2021</v>
      </c>
      <c r="AF13" s="3" t="s">
        <v>51</v>
      </c>
    </row>
    <row r="14" spans="1:32" x14ac:dyDescent="0.25">
      <c r="A14" s="20" t="s">
        <v>52</v>
      </c>
      <c r="B14" s="57">
        <v>2022</v>
      </c>
      <c r="C14" s="53">
        <v>2019</v>
      </c>
      <c r="D14" s="58">
        <v>2022</v>
      </c>
      <c r="E14" s="50">
        <v>2019</v>
      </c>
      <c r="F14" s="61">
        <v>2021</v>
      </c>
      <c r="G14" s="61">
        <v>2020</v>
      </c>
      <c r="H14" s="50">
        <v>2020</v>
      </c>
      <c r="I14" s="59">
        <v>2019</v>
      </c>
      <c r="J14" s="71">
        <v>2019</v>
      </c>
      <c r="K14" s="62">
        <v>2022</v>
      </c>
      <c r="L14" s="143"/>
      <c r="M14" s="145">
        <v>2022</v>
      </c>
      <c r="N14" s="145">
        <v>2022</v>
      </c>
      <c r="O14" s="65">
        <v>2018</v>
      </c>
      <c r="P14" s="62">
        <v>2022</v>
      </c>
      <c r="Q14" s="50">
        <v>2019</v>
      </c>
      <c r="R14" s="61">
        <v>2022</v>
      </c>
      <c r="S14" s="53">
        <v>2019</v>
      </c>
      <c r="T14" s="62">
        <v>2022</v>
      </c>
      <c r="U14" s="50">
        <v>2022</v>
      </c>
      <c r="V14" s="59">
        <v>2017</v>
      </c>
      <c r="W14" s="71">
        <v>2017</v>
      </c>
      <c r="X14" s="53">
        <v>2022</v>
      </c>
      <c r="Y14" s="50">
        <v>2021</v>
      </c>
      <c r="Z14" s="59">
        <v>2020</v>
      </c>
      <c r="AA14" s="60">
        <v>2018</v>
      </c>
      <c r="AB14" s="61">
        <v>2021</v>
      </c>
      <c r="AC14" s="71">
        <v>2016</v>
      </c>
      <c r="AD14" s="147"/>
      <c r="AE14" s="71">
        <v>2017</v>
      </c>
      <c r="AF14" s="3" t="s">
        <v>51</v>
      </c>
    </row>
    <row r="15" spans="1:32" x14ac:dyDescent="0.25">
      <c r="A15" s="20" t="s">
        <v>53</v>
      </c>
      <c r="B15" s="57">
        <v>2022</v>
      </c>
      <c r="C15" s="53">
        <v>2019</v>
      </c>
      <c r="D15" s="58">
        <v>2022</v>
      </c>
      <c r="E15" s="50">
        <v>2019</v>
      </c>
      <c r="F15" s="61">
        <v>2016</v>
      </c>
      <c r="G15" s="61">
        <v>2017</v>
      </c>
      <c r="H15" s="50">
        <v>2017</v>
      </c>
      <c r="I15" s="61">
        <v>2017</v>
      </c>
      <c r="J15" s="53"/>
      <c r="K15" s="81"/>
      <c r="L15" s="143"/>
      <c r="M15" s="145"/>
      <c r="N15" s="145">
        <v>2022</v>
      </c>
      <c r="O15" s="65">
        <v>2017</v>
      </c>
      <c r="P15" s="62">
        <v>2022</v>
      </c>
      <c r="Q15" s="50"/>
      <c r="R15" s="61"/>
      <c r="S15" s="53"/>
      <c r="T15" s="62">
        <v>2022</v>
      </c>
      <c r="U15" s="50">
        <v>2014</v>
      </c>
      <c r="V15" s="72"/>
      <c r="W15" s="53"/>
      <c r="X15" s="53">
        <v>2022</v>
      </c>
      <c r="Y15" s="50"/>
      <c r="Z15" s="61">
        <v>2013</v>
      </c>
      <c r="AA15" s="50">
        <v>2009</v>
      </c>
      <c r="AB15" s="61">
        <v>2021</v>
      </c>
      <c r="AC15" s="53">
        <v>2016</v>
      </c>
      <c r="AD15" s="147"/>
      <c r="AE15" s="53">
        <v>2017</v>
      </c>
      <c r="AF15" s="3" t="s">
        <v>42</v>
      </c>
    </row>
    <row r="16" spans="1:32" x14ac:dyDescent="0.25">
      <c r="A16" s="20" t="s">
        <v>54</v>
      </c>
      <c r="B16" s="57">
        <v>2022</v>
      </c>
      <c r="C16" s="71">
        <v>2019</v>
      </c>
      <c r="D16" s="58">
        <v>2022</v>
      </c>
      <c r="E16" s="60">
        <v>2019</v>
      </c>
      <c r="F16" s="59">
        <v>2021</v>
      </c>
      <c r="G16" s="59">
        <v>2020</v>
      </c>
      <c r="H16" s="60">
        <v>2020</v>
      </c>
      <c r="I16" s="80">
        <v>2019</v>
      </c>
      <c r="J16" s="71"/>
      <c r="K16" s="70"/>
      <c r="L16" s="143"/>
      <c r="M16" s="150"/>
      <c r="N16" s="150">
        <v>2022</v>
      </c>
      <c r="O16" s="65"/>
      <c r="P16" s="70"/>
      <c r="Q16" s="50"/>
      <c r="R16" s="59"/>
      <c r="S16" s="53"/>
      <c r="T16" s="70">
        <v>2022</v>
      </c>
      <c r="U16" s="60"/>
      <c r="V16" s="59"/>
      <c r="W16" s="71"/>
      <c r="X16" s="71"/>
      <c r="Y16" s="60"/>
      <c r="Z16" s="59"/>
      <c r="AA16" s="60"/>
      <c r="AB16" s="59"/>
      <c r="AC16" s="71"/>
      <c r="AD16" s="147"/>
      <c r="AE16" s="71"/>
      <c r="AF16" s="3" t="s">
        <v>55</v>
      </c>
    </row>
    <row r="17" spans="1:32" x14ac:dyDescent="0.25">
      <c r="A17" s="20" t="s">
        <v>56</v>
      </c>
      <c r="B17" s="57">
        <v>2022</v>
      </c>
      <c r="C17" s="71">
        <v>2019</v>
      </c>
      <c r="D17" s="58">
        <v>2022</v>
      </c>
      <c r="E17" s="60">
        <v>2019</v>
      </c>
      <c r="F17" s="72"/>
      <c r="G17" s="59">
        <v>2020</v>
      </c>
      <c r="H17" s="60">
        <v>2020</v>
      </c>
      <c r="I17" s="80"/>
      <c r="J17" s="71"/>
      <c r="K17" s="70"/>
      <c r="L17" s="143"/>
      <c r="M17" s="150"/>
      <c r="N17" s="150">
        <v>2022</v>
      </c>
      <c r="O17" s="65"/>
      <c r="P17" s="70"/>
      <c r="Q17" s="50"/>
      <c r="R17" s="59"/>
      <c r="S17" s="53"/>
      <c r="T17" s="70">
        <v>2022</v>
      </c>
      <c r="U17" s="60"/>
      <c r="V17" s="72"/>
      <c r="W17" s="71"/>
      <c r="X17" s="71"/>
      <c r="Y17" s="60"/>
      <c r="Z17" s="59"/>
      <c r="AA17" s="60"/>
      <c r="AB17" s="59"/>
      <c r="AC17" s="71"/>
      <c r="AD17" s="147"/>
      <c r="AE17" s="71"/>
      <c r="AF17" s="3" t="s">
        <v>55</v>
      </c>
    </row>
    <row r="18" spans="1:32" x14ac:dyDescent="0.25">
      <c r="A18" s="20" t="s">
        <v>57</v>
      </c>
      <c r="B18" s="57">
        <v>2022</v>
      </c>
      <c r="C18" s="53" t="s">
        <v>105</v>
      </c>
      <c r="D18" s="58">
        <v>2022</v>
      </c>
      <c r="E18" s="74"/>
      <c r="F18" s="72"/>
      <c r="G18" s="59" t="s">
        <v>58</v>
      </c>
      <c r="H18" s="75" t="s">
        <v>59</v>
      </c>
      <c r="I18" s="59" t="s">
        <v>106</v>
      </c>
      <c r="J18" s="151" t="s">
        <v>107</v>
      </c>
      <c r="K18" s="77" t="s">
        <v>60</v>
      </c>
      <c r="L18" s="143"/>
      <c r="M18" s="150" t="s">
        <v>108</v>
      </c>
      <c r="N18" s="149"/>
      <c r="O18" s="65" t="s">
        <v>109</v>
      </c>
      <c r="P18" s="81"/>
      <c r="Q18" s="50" t="s">
        <v>110</v>
      </c>
      <c r="R18" s="59" t="s">
        <v>107</v>
      </c>
      <c r="S18" s="53" t="s">
        <v>111</v>
      </c>
      <c r="T18" s="62" t="s">
        <v>62</v>
      </c>
      <c r="U18" s="50" t="s">
        <v>37</v>
      </c>
      <c r="V18" s="72"/>
      <c r="W18" s="71" t="s">
        <v>64</v>
      </c>
      <c r="X18" s="53">
        <v>2021</v>
      </c>
      <c r="Y18" s="69"/>
      <c r="Z18" s="59" t="s">
        <v>112</v>
      </c>
      <c r="AA18" s="60" t="s">
        <v>65</v>
      </c>
      <c r="AB18" s="61" t="s">
        <v>66</v>
      </c>
      <c r="AC18" s="53"/>
      <c r="AD18" s="147"/>
      <c r="AE18" s="65">
        <v>2017</v>
      </c>
      <c r="AF18" s="3" t="s">
        <v>67</v>
      </c>
    </row>
    <row r="19" spans="1:32" x14ac:dyDescent="0.25">
      <c r="A19" s="20" t="s">
        <v>68</v>
      </c>
      <c r="B19" s="66"/>
      <c r="C19" s="68"/>
      <c r="D19" s="73"/>
      <c r="E19" s="69"/>
      <c r="F19" s="72"/>
      <c r="G19" s="72"/>
      <c r="H19" s="69"/>
      <c r="I19" s="72"/>
      <c r="J19" s="68"/>
      <c r="K19" s="79"/>
      <c r="L19" s="143"/>
      <c r="M19" s="149"/>
      <c r="N19" s="150">
        <v>2022</v>
      </c>
      <c r="O19" s="68"/>
      <c r="P19" s="67"/>
      <c r="Q19" s="69"/>
      <c r="R19" s="72"/>
      <c r="S19" s="68"/>
      <c r="T19" s="67"/>
      <c r="U19" s="69"/>
      <c r="V19" s="72"/>
      <c r="W19" s="68"/>
      <c r="X19" s="68"/>
      <c r="Y19" s="69"/>
      <c r="Z19" s="72"/>
      <c r="AA19" s="69"/>
      <c r="AB19" s="72"/>
      <c r="AC19" s="68"/>
      <c r="AD19" s="147"/>
      <c r="AE19" s="68"/>
    </row>
    <row r="20" spans="1:32" x14ac:dyDescent="0.25">
      <c r="A20" s="20" t="s">
        <v>69</v>
      </c>
      <c r="B20" s="57">
        <v>2022</v>
      </c>
      <c r="C20" s="71">
        <v>2019</v>
      </c>
      <c r="D20" s="58">
        <v>2022</v>
      </c>
      <c r="E20" s="75">
        <v>2016</v>
      </c>
      <c r="F20" s="72"/>
      <c r="G20" s="59">
        <v>2017</v>
      </c>
      <c r="H20" s="60">
        <v>2017</v>
      </c>
      <c r="I20" s="80"/>
      <c r="J20" s="71"/>
      <c r="K20" s="81"/>
      <c r="L20" s="143"/>
      <c r="M20" s="145"/>
      <c r="N20" s="149"/>
      <c r="O20" s="65"/>
      <c r="P20" s="81"/>
      <c r="Q20" s="50"/>
      <c r="R20" s="61">
        <v>2022</v>
      </c>
      <c r="S20" s="53"/>
      <c r="T20" s="81">
        <v>2020</v>
      </c>
      <c r="U20" s="60"/>
      <c r="V20" s="72"/>
      <c r="W20" s="53">
        <v>2022</v>
      </c>
      <c r="X20" s="71"/>
      <c r="Y20" s="60"/>
      <c r="Z20" s="59">
        <v>2020</v>
      </c>
      <c r="AA20" s="60">
        <v>2020</v>
      </c>
      <c r="AB20" s="61">
        <v>2021</v>
      </c>
      <c r="AC20" s="71">
        <v>2017</v>
      </c>
      <c r="AD20" s="147"/>
      <c r="AE20" s="53">
        <v>2017</v>
      </c>
      <c r="AF20" s="3" t="s">
        <v>70</v>
      </c>
    </row>
    <row r="21" spans="1:32" x14ac:dyDescent="0.25">
      <c r="A21" s="20" t="s">
        <v>71</v>
      </c>
      <c r="B21" s="57">
        <v>2022</v>
      </c>
      <c r="C21" s="53">
        <v>2016</v>
      </c>
      <c r="D21" s="58">
        <v>2022</v>
      </c>
      <c r="E21" s="50">
        <v>2016</v>
      </c>
      <c r="F21" s="61">
        <v>2016</v>
      </c>
      <c r="G21" s="61">
        <v>2017</v>
      </c>
      <c r="H21" s="50">
        <v>2017</v>
      </c>
      <c r="I21" s="61">
        <v>2009</v>
      </c>
      <c r="J21" s="53">
        <v>2016</v>
      </c>
      <c r="K21" s="81">
        <v>2013</v>
      </c>
      <c r="L21" s="143"/>
      <c r="M21" s="145">
        <v>2019</v>
      </c>
      <c r="N21" s="145">
        <v>2022</v>
      </c>
      <c r="O21" s="65">
        <v>2017</v>
      </c>
      <c r="P21" s="62">
        <v>2022</v>
      </c>
      <c r="Q21" s="50">
        <v>2015</v>
      </c>
      <c r="R21" s="61">
        <v>2017</v>
      </c>
      <c r="S21" s="53">
        <v>2015</v>
      </c>
      <c r="T21" s="62">
        <v>2020</v>
      </c>
      <c r="U21" s="50">
        <v>2014</v>
      </c>
      <c r="V21" s="72"/>
      <c r="W21" s="53">
        <v>2008</v>
      </c>
      <c r="X21" s="53">
        <v>2014</v>
      </c>
      <c r="Y21" s="50">
        <v>2021</v>
      </c>
      <c r="Z21" s="61">
        <v>2015</v>
      </c>
      <c r="AA21" s="50">
        <v>2009</v>
      </c>
      <c r="AB21" s="61">
        <v>2016</v>
      </c>
      <c r="AC21" s="53">
        <v>2017</v>
      </c>
      <c r="AD21" s="147"/>
      <c r="AE21" s="53">
        <v>2017</v>
      </c>
      <c r="AF21" s="3" t="s">
        <v>42</v>
      </c>
    </row>
    <row r="22" spans="1:32" x14ac:dyDescent="0.25">
      <c r="A22" s="20" t="s">
        <v>72</v>
      </c>
      <c r="B22" s="57">
        <v>2022</v>
      </c>
      <c r="C22" s="53">
        <v>2016</v>
      </c>
      <c r="D22" s="58">
        <v>2022</v>
      </c>
      <c r="E22" s="50">
        <v>2016</v>
      </c>
      <c r="F22" s="61">
        <v>2016</v>
      </c>
      <c r="G22" s="61">
        <v>2017</v>
      </c>
      <c r="H22" s="50">
        <v>2017</v>
      </c>
      <c r="I22" s="61">
        <v>2009</v>
      </c>
      <c r="J22" s="53">
        <v>2016</v>
      </c>
      <c r="K22" s="62">
        <v>2013</v>
      </c>
      <c r="L22" s="143"/>
      <c r="M22" s="145">
        <v>2019</v>
      </c>
      <c r="N22" s="145">
        <v>2022</v>
      </c>
      <c r="O22" s="65">
        <v>2017</v>
      </c>
      <c r="P22" s="62">
        <v>2022</v>
      </c>
      <c r="Q22" s="50">
        <v>2015</v>
      </c>
      <c r="R22" s="61">
        <v>2017</v>
      </c>
      <c r="S22" s="53">
        <v>2015</v>
      </c>
      <c r="T22" s="62">
        <v>2020</v>
      </c>
      <c r="U22" s="50">
        <v>2014</v>
      </c>
      <c r="V22" s="61">
        <v>2011</v>
      </c>
      <c r="W22" s="53">
        <v>2008</v>
      </c>
      <c r="X22" s="53">
        <v>2022</v>
      </c>
      <c r="Y22" s="50">
        <v>2021</v>
      </c>
      <c r="Z22" s="61">
        <v>2015</v>
      </c>
      <c r="AA22" s="50">
        <v>2009</v>
      </c>
      <c r="AB22" s="61">
        <v>2016</v>
      </c>
      <c r="AC22" s="53">
        <v>2017</v>
      </c>
      <c r="AD22" s="147"/>
      <c r="AE22" s="53">
        <v>2017</v>
      </c>
      <c r="AF22" s="3" t="s">
        <v>42</v>
      </c>
    </row>
    <row r="23" spans="1:32" x14ac:dyDescent="0.25">
      <c r="A23" s="20" t="s">
        <v>73</v>
      </c>
      <c r="B23" s="66"/>
      <c r="C23" s="53">
        <v>2006</v>
      </c>
      <c r="D23" s="73"/>
      <c r="E23" s="50">
        <v>2016</v>
      </c>
      <c r="F23" s="61">
        <v>2016</v>
      </c>
      <c r="G23" s="61">
        <v>2017</v>
      </c>
      <c r="H23" s="50">
        <v>2017</v>
      </c>
      <c r="I23" s="61">
        <v>2009</v>
      </c>
      <c r="J23" s="53">
        <v>2016</v>
      </c>
      <c r="K23" s="62">
        <v>2013</v>
      </c>
      <c r="L23" s="143"/>
      <c r="M23" s="145">
        <v>2019</v>
      </c>
      <c r="N23" s="149"/>
      <c r="O23" s="65">
        <v>2017</v>
      </c>
      <c r="P23" s="67"/>
      <c r="Q23" s="50">
        <v>2015</v>
      </c>
      <c r="R23" s="61">
        <v>2017</v>
      </c>
      <c r="S23" s="53">
        <v>2015</v>
      </c>
      <c r="T23" s="67"/>
      <c r="U23" s="50">
        <v>2014</v>
      </c>
      <c r="V23" s="61">
        <v>2011</v>
      </c>
      <c r="W23" s="53">
        <v>2008</v>
      </c>
      <c r="X23" s="53">
        <v>2022</v>
      </c>
      <c r="Y23" s="50">
        <v>2021</v>
      </c>
      <c r="Z23" s="61">
        <v>2015</v>
      </c>
      <c r="AA23" s="50">
        <v>2009</v>
      </c>
      <c r="AB23" s="80">
        <v>2016</v>
      </c>
      <c r="AC23" s="53">
        <v>2017</v>
      </c>
      <c r="AD23" s="147"/>
      <c r="AE23" s="53">
        <v>2017</v>
      </c>
      <c r="AF23" s="3" t="s">
        <v>42</v>
      </c>
    </row>
    <row r="24" spans="1:32" x14ac:dyDescent="0.25">
      <c r="A24" s="20" t="s">
        <v>74</v>
      </c>
      <c r="B24" s="57">
        <v>2022</v>
      </c>
      <c r="C24" s="53">
        <v>2016</v>
      </c>
      <c r="D24" s="58">
        <v>2022</v>
      </c>
      <c r="E24" s="50">
        <v>2016</v>
      </c>
      <c r="F24" s="61">
        <v>2016</v>
      </c>
      <c r="G24" s="61">
        <v>2017</v>
      </c>
      <c r="H24" s="50">
        <v>2017</v>
      </c>
      <c r="I24" s="61">
        <v>2009</v>
      </c>
      <c r="J24" s="53">
        <v>2016</v>
      </c>
      <c r="K24" s="62">
        <v>2013</v>
      </c>
      <c r="L24" s="143"/>
      <c r="M24" s="145">
        <v>2019</v>
      </c>
      <c r="N24" s="145">
        <v>2022</v>
      </c>
      <c r="O24" s="65">
        <v>2017</v>
      </c>
      <c r="P24" s="62">
        <v>2019</v>
      </c>
      <c r="Q24" s="50">
        <v>2015</v>
      </c>
      <c r="R24" s="61">
        <v>2017</v>
      </c>
      <c r="S24" s="53">
        <v>2015</v>
      </c>
      <c r="T24" s="62">
        <v>2020</v>
      </c>
      <c r="U24" s="50">
        <v>2014</v>
      </c>
      <c r="V24" s="61">
        <v>2011</v>
      </c>
      <c r="W24" s="53">
        <v>2008</v>
      </c>
      <c r="X24" s="53">
        <v>2014</v>
      </c>
      <c r="Y24" s="50">
        <v>2015</v>
      </c>
      <c r="Z24" s="61">
        <v>2015</v>
      </c>
      <c r="AA24" s="50">
        <v>2009</v>
      </c>
      <c r="AB24" s="61">
        <v>2016</v>
      </c>
      <c r="AC24" s="53">
        <v>2017</v>
      </c>
      <c r="AD24" s="147"/>
      <c r="AE24" s="53">
        <v>2017</v>
      </c>
      <c r="AF24" s="3" t="s">
        <v>42</v>
      </c>
    </row>
    <row r="25" spans="1:32" x14ac:dyDescent="0.25">
      <c r="A25" s="20" t="s">
        <v>75</v>
      </c>
      <c r="B25" s="57">
        <v>2022</v>
      </c>
      <c r="C25" s="53">
        <v>2019</v>
      </c>
      <c r="D25" s="58"/>
      <c r="E25" s="50">
        <v>2019</v>
      </c>
      <c r="F25" s="61">
        <v>2016</v>
      </c>
      <c r="G25" s="61">
        <v>2017</v>
      </c>
      <c r="H25" s="50">
        <v>2017</v>
      </c>
      <c r="I25" s="59">
        <v>2016</v>
      </c>
      <c r="J25" s="53">
        <v>2017</v>
      </c>
      <c r="K25" s="62">
        <v>2017</v>
      </c>
      <c r="L25" s="143"/>
      <c r="M25" s="145">
        <v>2017</v>
      </c>
      <c r="N25" s="145">
        <v>2022</v>
      </c>
      <c r="O25" s="65">
        <v>2016</v>
      </c>
      <c r="P25" s="62">
        <v>2022</v>
      </c>
      <c r="Q25" s="50">
        <v>2015</v>
      </c>
      <c r="R25" s="61">
        <v>2017</v>
      </c>
      <c r="S25" s="53">
        <v>2015</v>
      </c>
      <c r="T25" s="62">
        <v>2020</v>
      </c>
      <c r="U25" s="50">
        <v>2018</v>
      </c>
      <c r="V25" s="61">
        <v>2017</v>
      </c>
      <c r="W25" s="71">
        <v>2015</v>
      </c>
      <c r="X25" s="53">
        <v>2022</v>
      </c>
      <c r="Y25" s="60">
        <v>2020</v>
      </c>
      <c r="Z25" s="59">
        <v>2017</v>
      </c>
      <c r="AA25" s="60">
        <v>2015</v>
      </c>
      <c r="AB25" s="61">
        <v>2019</v>
      </c>
      <c r="AC25" s="53">
        <v>2018</v>
      </c>
      <c r="AD25" s="147"/>
      <c r="AE25" s="53">
        <v>2018</v>
      </c>
      <c r="AF25" s="3" t="s">
        <v>76</v>
      </c>
    </row>
    <row r="26" spans="1:32" x14ac:dyDescent="0.25">
      <c r="A26" s="20" t="s">
        <v>77</v>
      </c>
      <c r="B26" s="66"/>
      <c r="C26" s="68"/>
      <c r="D26" s="73"/>
      <c r="E26" s="69"/>
      <c r="F26" s="72"/>
      <c r="G26" s="72"/>
      <c r="H26" s="69"/>
      <c r="I26" s="72"/>
      <c r="J26" s="68"/>
      <c r="K26" s="70">
        <v>2022</v>
      </c>
      <c r="L26" s="143"/>
      <c r="M26" s="149"/>
      <c r="N26" s="149"/>
      <c r="O26" s="65">
        <v>2020</v>
      </c>
      <c r="P26" s="75">
        <v>2018</v>
      </c>
      <c r="Q26" s="69"/>
      <c r="R26" s="72"/>
      <c r="S26" s="68"/>
      <c r="T26" s="67"/>
      <c r="U26" s="69"/>
      <c r="V26" s="72"/>
      <c r="W26" s="68"/>
      <c r="X26" s="71">
        <v>2022</v>
      </c>
      <c r="Y26" s="69"/>
      <c r="Z26" s="72"/>
      <c r="AA26" s="69"/>
      <c r="AB26" s="72"/>
      <c r="AC26" s="68"/>
      <c r="AD26" s="147"/>
      <c r="AE26" s="65">
        <v>2018</v>
      </c>
      <c r="AF26" s="3" t="s">
        <v>76</v>
      </c>
    </row>
    <row r="27" spans="1:32" x14ac:dyDescent="0.25">
      <c r="A27" s="20" t="s">
        <v>78</v>
      </c>
      <c r="B27" s="57">
        <v>2022</v>
      </c>
      <c r="C27" s="53">
        <v>2016</v>
      </c>
      <c r="D27" s="58">
        <v>2022</v>
      </c>
      <c r="E27" s="50">
        <v>2016</v>
      </c>
      <c r="F27" s="61">
        <v>2016</v>
      </c>
      <c r="G27" s="61">
        <v>2017</v>
      </c>
      <c r="H27" s="50">
        <v>2017</v>
      </c>
      <c r="I27" s="61"/>
      <c r="J27" s="53"/>
      <c r="K27" s="62"/>
      <c r="L27" s="143"/>
      <c r="M27" s="145"/>
      <c r="N27" s="145">
        <v>2022</v>
      </c>
      <c r="O27" s="65">
        <v>2017</v>
      </c>
      <c r="P27" s="62">
        <v>2022</v>
      </c>
      <c r="Q27" s="50">
        <v>2015</v>
      </c>
      <c r="R27" s="61">
        <v>2017</v>
      </c>
      <c r="S27" s="53">
        <v>2015</v>
      </c>
      <c r="T27" s="62">
        <v>2020</v>
      </c>
      <c r="U27" s="50">
        <v>2014</v>
      </c>
      <c r="V27" s="61"/>
      <c r="W27" s="53"/>
      <c r="X27" s="53"/>
      <c r="Y27" s="60"/>
      <c r="Z27" s="61">
        <v>2015</v>
      </c>
      <c r="AA27" s="50">
        <v>2009</v>
      </c>
      <c r="AB27" s="61"/>
      <c r="AC27" s="53">
        <v>2017</v>
      </c>
      <c r="AD27" s="147"/>
      <c r="AE27" s="53">
        <v>2017</v>
      </c>
      <c r="AF27" s="3" t="s">
        <v>42</v>
      </c>
    </row>
    <row r="28" spans="1:32" x14ac:dyDescent="0.25">
      <c r="A28" s="20" t="s">
        <v>79</v>
      </c>
      <c r="B28" s="57">
        <v>1</v>
      </c>
      <c r="C28" s="82"/>
      <c r="D28" s="58">
        <v>1</v>
      </c>
      <c r="E28" s="83"/>
      <c r="F28" s="84"/>
      <c r="G28" s="84"/>
      <c r="H28" s="83"/>
      <c r="I28" s="84"/>
      <c r="J28" s="82"/>
      <c r="K28" s="86"/>
      <c r="L28" s="143"/>
      <c r="M28" s="100"/>
      <c r="N28" s="152"/>
      <c r="O28" s="82"/>
      <c r="P28" s="85"/>
      <c r="Q28" s="83"/>
      <c r="R28" s="84"/>
      <c r="S28" s="82"/>
      <c r="T28" s="85"/>
      <c r="U28" s="83"/>
      <c r="V28" s="84"/>
      <c r="W28" s="82"/>
      <c r="X28" s="88"/>
      <c r="Y28" s="91"/>
      <c r="Z28" s="84"/>
      <c r="AA28" s="83"/>
      <c r="AB28" s="84"/>
      <c r="AC28" s="89"/>
      <c r="AD28" s="147"/>
      <c r="AE28" s="82"/>
    </row>
    <row r="29" spans="1:32" x14ac:dyDescent="0.25">
      <c r="A29" s="20" t="s">
        <v>80</v>
      </c>
      <c r="B29" s="57">
        <v>1</v>
      </c>
      <c r="C29" s="82"/>
      <c r="D29" s="58">
        <v>1</v>
      </c>
      <c r="E29" s="83"/>
      <c r="F29" s="84"/>
      <c r="G29" s="84"/>
      <c r="H29" s="83"/>
      <c r="I29" s="84"/>
      <c r="J29" s="82"/>
      <c r="K29" s="86"/>
      <c r="L29" s="143"/>
      <c r="M29" s="100"/>
      <c r="N29" s="152"/>
      <c r="O29" s="82"/>
      <c r="P29" s="85"/>
      <c r="Q29" s="83"/>
      <c r="R29" s="84"/>
      <c r="S29" s="82"/>
      <c r="T29" s="85"/>
      <c r="U29" s="83"/>
      <c r="V29" s="84"/>
      <c r="W29" s="82"/>
      <c r="X29" s="88"/>
      <c r="Y29" s="91"/>
      <c r="Z29" s="84"/>
      <c r="AA29" s="83"/>
      <c r="AB29" s="84"/>
      <c r="AC29" s="89"/>
      <c r="AD29" s="147"/>
      <c r="AE29" s="82"/>
      <c r="AF29" s="3" t="s">
        <v>42</v>
      </c>
    </row>
    <row r="30" spans="1:32" x14ac:dyDescent="0.25">
      <c r="A30" s="20" t="s">
        <v>81</v>
      </c>
      <c r="B30" s="57">
        <v>1</v>
      </c>
      <c r="C30" s="82"/>
      <c r="D30" s="58">
        <v>1</v>
      </c>
      <c r="E30" s="83"/>
      <c r="F30" s="84"/>
      <c r="G30" s="84"/>
      <c r="H30" s="83"/>
      <c r="I30" s="59">
        <v>1</v>
      </c>
      <c r="J30" s="82"/>
      <c r="K30" s="86"/>
      <c r="L30" s="143"/>
      <c r="M30" s="100"/>
      <c r="N30" s="152"/>
      <c r="O30" s="82"/>
      <c r="P30" s="85"/>
      <c r="Q30" s="83"/>
      <c r="R30" s="84"/>
      <c r="S30" s="82"/>
      <c r="T30" s="85"/>
      <c r="U30" s="83"/>
      <c r="V30" s="84"/>
      <c r="W30" s="82"/>
      <c r="X30" s="88"/>
      <c r="Y30" s="60" t="s">
        <v>113</v>
      </c>
      <c r="Z30" s="84"/>
      <c r="AA30" s="83"/>
      <c r="AB30" s="84"/>
      <c r="AC30" s="89"/>
      <c r="AD30" s="147"/>
      <c r="AE30" s="82"/>
    </row>
    <row r="31" spans="1:32" x14ac:dyDescent="0.25">
      <c r="A31" s="20" t="s">
        <v>82</v>
      </c>
      <c r="B31" s="87">
        <v>4</v>
      </c>
      <c r="C31" s="82">
        <v>4</v>
      </c>
      <c r="D31" s="89">
        <v>4</v>
      </c>
      <c r="E31" s="83">
        <v>4</v>
      </c>
      <c r="F31" s="84">
        <v>0</v>
      </c>
      <c r="G31" s="84">
        <v>4</v>
      </c>
      <c r="H31" s="83">
        <v>4</v>
      </c>
      <c r="I31" s="84">
        <v>4</v>
      </c>
      <c r="J31" s="82">
        <v>4</v>
      </c>
      <c r="K31" s="85">
        <v>4</v>
      </c>
      <c r="L31" s="143"/>
      <c r="M31" s="100">
        <v>4</v>
      </c>
      <c r="N31" s="100">
        <v>4</v>
      </c>
      <c r="O31" s="82">
        <v>4</v>
      </c>
      <c r="P31" s="85">
        <v>4</v>
      </c>
      <c r="Q31" s="83">
        <v>0</v>
      </c>
      <c r="R31" s="84">
        <v>4</v>
      </c>
      <c r="S31" s="82">
        <v>0</v>
      </c>
      <c r="T31" s="85">
        <v>4</v>
      </c>
      <c r="U31" s="83">
        <v>4</v>
      </c>
      <c r="V31" s="84">
        <v>0</v>
      </c>
      <c r="W31" s="82">
        <v>4</v>
      </c>
      <c r="X31" s="82">
        <v>4</v>
      </c>
      <c r="Y31" s="83">
        <v>0</v>
      </c>
      <c r="Z31" s="84">
        <v>4</v>
      </c>
      <c r="AA31" s="83">
        <v>4</v>
      </c>
      <c r="AB31" s="84">
        <v>4</v>
      </c>
      <c r="AC31" s="89">
        <v>4</v>
      </c>
      <c r="AD31" s="147"/>
      <c r="AE31" s="82">
        <v>4</v>
      </c>
    </row>
    <row r="32" spans="1:32" x14ac:dyDescent="0.25">
      <c r="A32" s="20" t="s">
        <v>83</v>
      </c>
      <c r="B32" s="87"/>
      <c r="C32" s="82"/>
      <c r="D32" s="89"/>
      <c r="E32" s="83"/>
      <c r="F32" s="84"/>
      <c r="G32" s="84"/>
      <c r="H32" s="83"/>
      <c r="I32" s="93"/>
      <c r="J32" s="82"/>
      <c r="K32" s="85"/>
      <c r="L32" s="143"/>
      <c r="M32" s="100"/>
      <c r="N32" s="100"/>
      <c r="O32" s="82"/>
      <c r="P32" s="85"/>
      <c r="Q32" s="83"/>
      <c r="R32" s="84"/>
      <c r="S32" s="82"/>
      <c r="T32" s="85"/>
      <c r="U32" s="83"/>
      <c r="V32" s="84"/>
      <c r="W32" s="82"/>
      <c r="X32" s="82"/>
      <c r="Y32" s="83"/>
      <c r="Z32" s="84"/>
      <c r="AA32" s="83"/>
      <c r="AB32" s="84"/>
      <c r="AC32" s="89"/>
      <c r="AD32" s="147"/>
      <c r="AE32" s="82"/>
    </row>
    <row r="33" spans="1:31" x14ac:dyDescent="0.25">
      <c r="A33" s="20" t="s">
        <v>84</v>
      </c>
      <c r="B33" s="87"/>
      <c r="C33" s="1"/>
      <c r="D33" s="1"/>
      <c r="E33" s="1"/>
      <c r="F33" s="84"/>
      <c r="G33" s="84"/>
      <c r="H33" s="83"/>
      <c r="I33" s="94">
        <v>0</v>
      </c>
      <c r="J33" s="1"/>
      <c r="K33" s="85"/>
      <c r="L33" s="143"/>
      <c r="M33" s="153"/>
      <c r="N33" s="1"/>
      <c r="O33" s="1"/>
      <c r="P33" s="1"/>
      <c r="Q33" s="83"/>
      <c r="R33" s="1"/>
      <c r="S33" s="1"/>
      <c r="T33" s="94"/>
      <c r="U33" s="83"/>
      <c r="V33" s="1">
        <v>0</v>
      </c>
      <c r="W33" s="94"/>
      <c r="X33" s="1"/>
      <c r="Y33" s="83"/>
      <c r="Z33" s="94">
        <v>0</v>
      </c>
      <c r="AA33" s="83"/>
      <c r="AB33" s="1">
        <v>0</v>
      </c>
      <c r="AC33" s="94"/>
      <c r="AD33" s="154"/>
      <c r="AE33" s="1"/>
    </row>
    <row r="34" spans="1:31" x14ac:dyDescent="0.25">
      <c r="A34" s="20" t="s">
        <v>85</v>
      </c>
      <c r="B34" s="87"/>
      <c r="C34" s="1">
        <f>C31+E31-C32-E32-C33</f>
        <v>8</v>
      </c>
      <c r="D34" s="1"/>
      <c r="E34" s="1"/>
      <c r="F34" s="84"/>
      <c r="G34" s="84"/>
      <c r="H34" s="83"/>
      <c r="I34" s="94">
        <f>I31+J31+K31-I32-J32-K32-I33</f>
        <v>12</v>
      </c>
      <c r="J34" s="1"/>
      <c r="K34" s="85"/>
      <c r="L34" s="143"/>
      <c r="M34" s="153"/>
      <c r="N34" s="1"/>
      <c r="O34" s="1"/>
      <c r="P34" s="1">
        <f>M31+O31+P31+P32+Q31-M32-O32-Q32-P33</f>
        <v>12</v>
      </c>
      <c r="Q34" s="83"/>
      <c r="R34" s="1"/>
      <c r="S34" s="1"/>
      <c r="T34" s="94"/>
      <c r="U34" s="83"/>
      <c r="V34" s="1">
        <f>V31+W31+X31+Y31-V32-W32-X32-Y32-V33</f>
        <v>8</v>
      </c>
      <c r="W34" s="94"/>
      <c r="X34" s="1"/>
      <c r="Y34" s="83"/>
      <c r="Z34" s="94">
        <f>Z31+AA31-Z32-AA32-Z33</f>
        <v>8</v>
      </c>
      <c r="AA34" s="83"/>
      <c r="AB34" s="1">
        <f>AB31+AD31+AE31-AB32-AD32-AB33-AE33</f>
        <v>8</v>
      </c>
      <c r="AC34" s="94"/>
      <c r="AD34" s="154"/>
      <c r="AE34" s="1"/>
    </row>
    <row r="35" spans="1:31" x14ac:dyDescent="0.25">
      <c r="A35" s="20" t="s">
        <v>86</v>
      </c>
      <c r="B35" s="87"/>
      <c r="C35" s="1"/>
      <c r="D35" s="1"/>
      <c r="E35" s="1"/>
      <c r="F35" s="84"/>
      <c r="G35" s="84"/>
      <c r="H35" s="83"/>
      <c r="I35" s="94"/>
      <c r="J35" s="1"/>
      <c r="K35" s="85"/>
      <c r="L35" s="143"/>
      <c r="M35" s="153"/>
      <c r="N35" s="1"/>
      <c r="O35" s="1"/>
      <c r="P35" s="1"/>
      <c r="Q35" s="83"/>
      <c r="R35" s="1"/>
      <c r="S35" s="1"/>
      <c r="T35" s="94"/>
      <c r="U35" s="83"/>
      <c r="V35" s="1"/>
      <c r="W35" s="94"/>
      <c r="X35" s="1"/>
      <c r="Y35" s="83"/>
      <c r="Z35" s="94"/>
      <c r="AA35" s="83"/>
      <c r="AB35" s="1"/>
      <c r="AC35" s="94"/>
      <c r="AD35" s="154"/>
      <c r="AE35" s="1"/>
    </row>
    <row r="36" spans="1:31" x14ac:dyDescent="0.25">
      <c r="A36" s="20" t="s">
        <v>87</v>
      </c>
      <c r="B36" s="87"/>
      <c r="C36" s="97"/>
      <c r="D36" s="97"/>
      <c r="E36" s="97"/>
      <c r="F36" s="84"/>
      <c r="G36" s="84"/>
      <c r="H36" s="83"/>
      <c r="I36" s="98"/>
      <c r="J36" s="97"/>
      <c r="K36" s="85"/>
      <c r="L36" s="143"/>
      <c r="M36" s="153"/>
      <c r="N36" s="1"/>
      <c r="O36" s="1">
        <v>1</v>
      </c>
      <c r="P36" s="1">
        <v>1</v>
      </c>
      <c r="Q36" s="83"/>
      <c r="R36" s="1"/>
      <c r="S36" s="94"/>
      <c r="T36" s="1"/>
      <c r="U36" s="83"/>
      <c r="V36" s="1"/>
      <c r="W36" s="94"/>
      <c r="X36" s="1"/>
      <c r="Y36" s="83"/>
      <c r="Z36" s="94"/>
      <c r="AA36" s="83"/>
      <c r="AB36" s="1" t="s">
        <v>114</v>
      </c>
      <c r="AC36" s="94"/>
      <c r="AD36" s="154"/>
      <c r="AE36" s="1"/>
    </row>
    <row r="37" spans="1:31" s="118" customFormat="1" x14ac:dyDescent="0.25">
      <c r="A37" s="113" t="s">
        <v>89</v>
      </c>
      <c r="B37" s="114" t="s">
        <v>90</v>
      </c>
      <c r="C37" s="97" t="s">
        <v>90</v>
      </c>
      <c r="D37" s="115" t="s">
        <v>90</v>
      </c>
      <c r="E37" s="116" t="s">
        <v>90</v>
      </c>
      <c r="F37" s="117" t="s">
        <v>88</v>
      </c>
      <c r="G37" s="117" t="s">
        <v>90</v>
      </c>
      <c r="H37" s="116" t="s">
        <v>90</v>
      </c>
      <c r="I37" s="117" t="s">
        <v>88</v>
      </c>
      <c r="J37" s="97" t="s">
        <v>88</v>
      </c>
      <c r="K37" s="85" t="s">
        <v>88</v>
      </c>
      <c r="L37" s="155"/>
      <c r="M37" s="98" t="s">
        <v>88</v>
      </c>
      <c r="N37" s="98" t="s">
        <v>88</v>
      </c>
      <c r="O37" s="98" t="s">
        <v>88</v>
      </c>
      <c r="P37" s="98" t="s">
        <v>88</v>
      </c>
      <c r="Q37" s="83" t="s">
        <v>88</v>
      </c>
      <c r="R37" s="97" t="s">
        <v>88</v>
      </c>
      <c r="S37" s="97" t="s">
        <v>88</v>
      </c>
      <c r="T37" s="98" t="s">
        <v>88</v>
      </c>
      <c r="U37" s="83" t="s">
        <v>37</v>
      </c>
      <c r="V37" s="97" t="s">
        <v>88</v>
      </c>
      <c r="W37" s="98" t="s">
        <v>88</v>
      </c>
      <c r="X37" s="97" t="s">
        <v>88</v>
      </c>
      <c r="Y37" s="83" t="s">
        <v>88</v>
      </c>
      <c r="Z37" s="98" t="s">
        <v>88</v>
      </c>
      <c r="AA37" s="83" t="s">
        <v>88</v>
      </c>
      <c r="AB37" s="97" t="s">
        <v>37</v>
      </c>
      <c r="AC37" s="98" t="s">
        <v>37</v>
      </c>
      <c r="AD37" s="156"/>
      <c r="AE37" s="97" t="s">
        <v>37</v>
      </c>
    </row>
    <row r="38" spans="1:31" s="64" customFormat="1" x14ac:dyDescent="0.25">
      <c r="A38" s="62" t="s">
        <v>91</v>
      </c>
      <c r="B38" s="52"/>
      <c r="C38" s="119"/>
      <c r="D38" s="52"/>
      <c r="E38" s="52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</row>
    <row r="39" spans="1:31" s="121" customFormat="1" x14ac:dyDescent="0.25">
      <c r="A39" s="86" t="s">
        <v>93</v>
      </c>
      <c r="B39" s="90"/>
      <c r="C39" s="120"/>
      <c r="D39" s="90"/>
      <c r="E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</row>
    <row r="40" spans="1:31" s="122" customFormat="1" x14ac:dyDescent="0.25">
      <c r="A40" s="81" t="s">
        <v>94</v>
      </c>
      <c r="B40" s="78"/>
      <c r="D40" s="65"/>
      <c r="E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</row>
    <row r="41" spans="1:31" s="58" customFormat="1" x14ac:dyDescent="0.25">
      <c r="A41" s="70" t="s">
        <v>95</v>
      </c>
      <c r="B41" s="57"/>
      <c r="C41" s="123"/>
      <c r="D41" s="57"/>
      <c r="E41" s="57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spans="1:31" s="126" customFormat="1" x14ac:dyDescent="0.25">
      <c r="A42" s="124" t="s">
        <v>96</v>
      </c>
      <c r="B42" s="125"/>
      <c r="D42" s="127"/>
      <c r="E42" s="127"/>
      <c r="F42" s="124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</row>
    <row r="43" spans="1:31" s="132" customFormat="1" x14ac:dyDescent="0.25">
      <c r="A43" s="128" t="s">
        <v>97</v>
      </c>
      <c r="B43" s="129"/>
      <c r="C43" s="130"/>
      <c r="D43" s="131"/>
      <c r="E43" s="131"/>
      <c r="F43" s="128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</row>
    <row r="44" spans="1:31" s="3" customFormat="1" x14ac:dyDescent="0.25">
      <c r="A44" s="133" t="s">
        <v>98</v>
      </c>
    </row>
    <row r="45" spans="1:31" s="3" customFormat="1" x14ac:dyDescent="0.25">
      <c r="A45" s="134"/>
    </row>
    <row r="46" spans="1:31" s="3" customFormat="1" x14ac:dyDescent="0.25"/>
    <row r="47" spans="1:31" s="3" customFormat="1" x14ac:dyDescent="0.25"/>
    <row r="48" spans="1:31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045"/>
  <sheetViews>
    <sheetView zoomScaleNormal="100" workbookViewId="0"/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6" customWidth="1"/>
    <col min="11" max="12" width="7.28515625" style="3" customWidth="1"/>
    <col min="13" max="13" width="7.28515625" style="5" customWidth="1"/>
    <col min="14" max="14" width="7.28515625" style="4" customWidth="1"/>
    <col min="15" max="15" width="7.28515625" style="3" customWidth="1"/>
    <col min="16" max="16" width="7.28515625" style="5" customWidth="1"/>
    <col min="17" max="17" width="7.28515625" style="4" customWidth="1"/>
    <col min="18" max="19" width="7.28515625" style="3" customWidth="1"/>
    <col min="20" max="20" width="7.28515625" style="5" customWidth="1"/>
    <col min="21" max="21" width="7.28515625" style="4" customWidth="1"/>
    <col min="22" max="22" width="7.28515625" style="5" customWidth="1"/>
    <col min="23" max="23" width="7.28515625" style="4" customWidth="1"/>
    <col min="24" max="24" width="7.28515625" style="3" customWidth="1"/>
    <col min="25" max="25" width="8.140625" style="3" customWidth="1"/>
    <col min="26" max="1024" width="8.85546875" style="3"/>
  </cols>
  <sheetData>
    <row r="1" spans="1:31" s="19" customFormat="1" x14ac:dyDescent="0.25">
      <c r="A1" s="7"/>
      <c r="B1" s="8" t="s">
        <v>0</v>
      </c>
      <c r="C1" s="8" t="s">
        <v>0</v>
      </c>
      <c r="D1" s="8" t="s">
        <v>1</v>
      </c>
      <c r="E1" s="8" t="s">
        <v>1</v>
      </c>
      <c r="F1" s="9" t="s">
        <v>99</v>
      </c>
      <c r="G1" s="9" t="s">
        <v>2</v>
      </c>
      <c r="H1" s="10" t="s">
        <v>3</v>
      </c>
      <c r="I1" s="9" t="s">
        <v>4</v>
      </c>
      <c r="J1" s="11" t="s">
        <v>5</v>
      </c>
      <c r="K1" s="10" t="s">
        <v>6</v>
      </c>
      <c r="L1" s="9" t="s">
        <v>100</v>
      </c>
      <c r="M1" s="13" t="s">
        <v>7</v>
      </c>
      <c r="N1" s="13" t="s">
        <v>7</v>
      </c>
      <c r="O1" s="11" t="s">
        <v>8</v>
      </c>
      <c r="P1" s="12" t="s">
        <v>9</v>
      </c>
      <c r="Q1" s="10" t="s">
        <v>9</v>
      </c>
      <c r="R1" s="9" t="s">
        <v>10</v>
      </c>
      <c r="S1" s="11" t="s">
        <v>11</v>
      </c>
      <c r="T1" s="12" t="s">
        <v>11</v>
      </c>
      <c r="U1" s="10" t="s">
        <v>13</v>
      </c>
      <c r="V1" s="9" t="s">
        <v>14</v>
      </c>
      <c r="W1" s="11" t="s">
        <v>15</v>
      </c>
      <c r="X1" s="11" t="s">
        <v>16</v>
      </c>
      <c r="Y1" s="10" t="s">
        <v>101</v>
      </c>
      <c r="Z1" s="9" t="s">
        <v>19</v>
      </c>
      <c r="AA1" s="10" t="s">
        <v>20</v>
      </c>
      <c r="AB1" s="9" t="s">
        <v>21</v>
      </c>
      <c r="AC1" s="136" t="s">
        <v>102</v>
      </c>
      <c r="AD1" s="11" t="s">
        <v>23</v>
      </c>
    </row>
    <row r="2" spans="1:31" x14ac:dyDescent="0.25">
      <c r="A2" s="20" t="s">
        <v>24</v>
      </c>
      <c r="B2" s="21"/>
      <c r="C2" s="22"/>
      <c r="D2" s="23"/>
      <c r="E2" s="24"/>
      <c r="F2" s="25"/>
      <c r="G2" s="25"/>
      <c r="H2" s="24"/>
      <c r="I2" s="25"/>
      <c r="J2" s="22"/>
      <c r="K2" s="24"/>
      <c r="L2" s="25"/>
      <c r="M2" s="28"/>
      <c r="N2" s="28"/>
      <c r="O2" s="22"/>
      <c r="P2" s="26"/>
      <c r="Q2" s="24"/>
      <c r="R2" s="25"/>
      <c r="S2" s="22"/>
      <c r="T2" s="26"/>
      <c r="U2" s="24"/>
      <c r="V2" s="25"/>
      <c r="W2" s="22"/>
      <c r="X2" s="22"/>
      <c r="Y2" s="24"/>
      <c r="Z2" s="25"/>
      <c r="AA2" s="24"/>
      <c r="AB2" s="25"/>
      <c r="AC2" s="138"/>
      <c r="AD2" s="22"/>
    </row>
    <row r="3" spans="1:31" s="38" customFormat="1" x14ac:dyDescent="0.25">
      <c r="A3" s="29" t="s">
        <v>25</v>
      </c>
      <c r="B3" s="157"/>
      <c r="C3" s="32" t="s">
        <v>115</v>
      </c>
      <c r="D3" s="35"/>
      <c r="E3" s="35" t="s">
        <v>115</v>
      </c>
      <c r="F3" s="30" t="s">
        <v>115</v>
      </c>
      <c r="G3" s="158" t="s">
        <v>115</v>
      </c>
      <c r="H3" s="37" t="s">
        <v>115</v>
      </c>
      <c r="I3" s="31" t="s">
        <v>116</v>
      </c>
      <c r="J3" s="32" t="s">
        <v>116</v>
      </c>
      <c r="K3" s="34" t="s">
        <v>117</v>
      </c>
      <c r="L3" s="30" t="s">
        <v>37</v>
      </c>
      <c r="M3" s="32" t="s">
        <v>116</v>
      </c>
      <c r="N3" s="34"/>
      <c r="O3" s="32" t="s">
        <v>116</v>
      </c>
      <c r="P3" s="35" t="s">
        <v>115</v>
      </c>
      <c r="Q3" s="35" t="s">
        <v>116</v>
      </c>
      <c r="R3" s="31" t="s">
        <v>115</v>
      </c>
      <c r="S3" s="32" t="s">
        <v>116</v>
      </c>
      <c r="T3" s="35" t="s">
        <v>115</v>
      </c>
      <c r="U3" s="35" t="s">
        <v>116</v>
      </c>
      <c r="V3" s="31" t="s">
        <v>116</v>
      </c>
      <c r="W3" s="32" t="s">
        <v>116</v>
      </c>
      <c r="X3" s="32" t="s">
        <v>116</v>
      </c>
      <c r="Y3" s="35" t="s">
        <v>116</v>
      </c>
      <c r="Z3" s="30" t="s">
        <v>116</v>
      </c>
      <c r="AA3" s="37" t="s">
        <v>116</v>
      </c>
      <c r="AB3" s="31" t="s">
        <v>118</v>
      </c>
      <c r="AC3" s="141" t="s">
        <v>118</v>
      </c>
      <c r="AD3" s="32" t="s">
        <v>118</v>
      </c>
    </row>
    <row r="4" spans="1:31" s="38" customFormat="1" x14ac:dyDescent="0.25">
      <c r="A4" s="29" t="s">
        <v>31</v>
      </c>
      <c r="B4" s="40"/>
      <c r="C4" s="42" t="s">
        <v>115</v>
      </c>
      <c r="D4" s="44"/>
      <c r="E4" s="45" t="s">
        <v>115</v>
      </c>
      <c r="F4" s="142" t="s">
        <v>115</v>
      </c>
      <c r="G4" s="44" t="s">
        <v>115</v>
      </c>
      <c r="H4" s="45" t="s">
        <v>115</v>
      </c>
      <c r="I4" s="40" t="s">
        <v>115</v>
      </c>
      <c r="J4" s="42" t="s">
        <v>116</v>
      </c>
      <c r="K4" s="46" t="s">
        <v>119</v>
      </c>
      <c r="L4" s="48" t="s">
        <v>37</v>
      </c>
      <c r="M4" s="42" t="s">
        <v>115</v>
      </c>
      <c r="N4" s="44"/>
      <c r="O4" s="44" t="s">
        <v>115</v>
      </c>
      <c r="P4" s="44" t="s">
        <v>115</v>
      </c>
      <c r="Q4" s="45" t="s">
        <v>115</v>
      </c>
      <c r="R4" s="40" t="s">
        <v>115</v>
      </c>
      <c r="S4" s="42" t="s">
        <v>116</v>
      </c>
      <c r="T4" s="44" t="s">
        <v>115</v>
      </c>
      <c r="U4" s="45" t="s">
        <v>116</v>
      </c>
      <c r="V4" s="40" t="s">
        <v>116</v>
      </c>
      <c r="W4" s="42" t="s">
        <v>116</v>
      </c>
      <c r="X4" s="44" t="s">
        <v>116</v>
      </c>
      <c r="Y4" s="45" t="s">
        <v>116</v>
      </c>
      <c r="Z4" s="48" t="s">
        <v>116</v>
      </c>
      <c r="AA4" s="45" t="s">
        <v>116</v>
      </c>
      <c r="AB4" s="48" t="s">
        <v>115</v>
      </c>
      <c r="AC4" s="144" t="s">
        <v>120</v>
      </c>
      <c r="AD4" s="44" t="s">
        <v>115</v>
      </c>
    </row>
    <row r="5" spans="1:31" s="38" customFormat="1" x14ac:dyDescent="0.25">
      <c r="A5" s="29" t="s">
        <v>34</v>
      </c>
      <c r="B5" s="40" t="s">
        <v>35</v>
      </c>
      <c r="C5" s="43" t="s">
        <v>36</v>
      </c>
      <c r="D5" s="42" t="s">
        <v>35</v>
      </c>
      <c r="E5" s="42" t="s">
        <v>36</v>
      </c>
      <c r="F5" s="55" t="s">
        <v>36</v>
      </c>
      <c r="G5" s="48" t="s">
        <v>36</v>
      </c>
      <c r="H5" s="50" t="s">
        <v>36</v>
      </c>
      <c r="I5" s="51" t="s">
        <v>36</v>
      </c>
      <c r="J5" s="42" t="s">
        <v>36</v>
      </c>
      <c r="K5" s="45" t="s">
        <v>36</v>
      </c>
      <c r="L5" s="51" t="s">
        <v>37</v>
      </c>
      <c r="M5" s="53" t="s">
        <v>36</v>
      </c>
      <c r="N5" s="53" t="s">
        <v>35</v>
      </c>
      <c r="O5" s="42" t="s">
        <v>36</v>
      </c>
      <c r="P5" s="54" t="s">
        <v>35</v>
      </c>
      <c r="Q5" s="42" t="s">
        <v>36</v>
      </c>
      <c r="R5" s="55" t="s">
        <v>36</v>
      </c>
      <c r="S5" s="42" t="s">
        <v>36</v>
      </c>
      <c r="T5" s="43" t="s">
        <v>35</v>
      </c>
      <c r="U5" s="47" t="s">
        <v>36</v>
      </c>
      <c r="V5" s="54" t="s">
        <v>37</v>
      </c>
      <c r="W5" s="43" t="s">
        <v>36</v>
      </c>
      <c r="X5" s="42" t="s">
        <v>36</v>
      </c>
      <c r="Y5" s="146" t="s">
        <v>36</v>
      </c>
      <c r="Z5" s="55" t="s">
        <v>36</v>
      </c>
      <c r="AA5" s="50" t="s">
        <v>36</v>
      </c>
      <c r="AB5" s="51" t="s">
        <v>36</v>
      </c>
      <c r="AC5" s="147" t="s">
        <v>36</v>
      </c>
      <c r="AD5" s="42" t="s">
        <v>36</v>
      </c>
    </row>
    <row r="6" spans="1:31" x14ac:dyDescent="0.25">
      <c r="A6" s="20" t="s">
        <v>38</v>
      </c>
      <c r="B6" s="57"/>
      <c r="C6" s="53">
        <v>2019</v>
      </c>
      <c r="D6" s="58"/>
      <c r="E6" s="50">
        <v>2019</v>
      </c>
      <c r="F6" s="61">
        <v>2016</v>
      </c>
      <c r="G6" s="59">
        <v>2017</v>
      </c>
      <c r="H6" s="60">
        <v>2017</v>
      </c>
      <c r="I6" s="59">
        <v>2009</v>
      </c>
      <c r="J6" s="53">
        <v>2016</v>
      </c>
      <c r="K6" s="60">
        <v>2013</v>
      </c>
      <c r="L6" s="159"/>
      <c r="M6" s="148">
        <v>2019</v>
      </c>
      <c r="N6" s="160"/>
      <c r="O6" s="71">
        <v>2017</v>
      </c>
      <c r="P6" s="70">
        <v>2019</v>
      </c>
      <c r="Q6" s="50">
        <v>2015</v>
      </c>
      <c r="R6" s="61">
        <v>2017</v>
      </c>
      <c r="S6" s="53">
        <v>2015</v>
      </c>
      <c r="T6" s="62">
        <v>2020</v>
      </c>
      <c r="U6" s="50">
        <v>2014</v>
      </c>
      <c r="V6" s="61">
        <v>2011</v>
      </c>
      <c r="W6" s="53">
        <v>2008</v>
      </c>
      <c r="X6" s="71">
        <v>2014</v>
      </c>
      <c r="Y6" s="50">
        <v>2021</v>
      </c>
      <c r="Z6" s="61">
        <v>2015</v>
      </c>
      <c r="AA6" s="50">
        <v>2009</v>
      </c>
      <c r="AB6" s="61">
        <v>2016</v>
      </c>
      <c r="AC6" s="147">
        <v>2016</v>
      </c>
      <c r="AD6" s="53">
        <v>2017</v>
      </c>
    </row>
    <row r="7" spans="1:31" x14ac:dyDescent="0.25">
      <c r="A7" s="20" t="s">
        <v>39</v>
      </c>
      <c r="B7" s="57"/>
      <c r="C7" s="53">
        <v>2019</v>
      </c>
      <c r="D7" s="58"/>
      <c r="E7" s="50">
        <v>2019</v>
      </c>
      <c r="F7" s="61">
        <v>2016</v>
      </c>
      <c r="G7" s="59">
        <v>2017</v>
      </c>
      <c r="H7" s="60">
        <v>2017</v>
      </c>
      <c r="I7" s="59">
        <v>2009</v>
      </c>
      <c r="J7" s="53">
        <v>2016</v>
      </c>
      <c r="K7" s="60">
        <v>2013</v>
      </c>
      <c r="L7" s="61"/>
      <c r="M7" s="145">
        <v>2019</v>
      </c>
      <c r="N7" s="150"/>
      <c r="O7" s="71">
        <v>2017</v>
      </c>
      <c r="P7" s="70">
        <v>2019</v>
      </c>
      <c r="Q7" s="50">
        <v>2015</v>
      </c>
      <c r="R7" s="61">
        <v>2017</v>
      </c>
      <c r="S7" s="53">
        <v>2015</v>
      </c>
      <c r="T7" s="62">
        <v>2020</v>
      </c>
      <c r="U7" s="50">
        <v>2014</v>
      </c>
      <c r="V7" s="61">
        <v>2011</v>
      </c>
      <c r="W7" s="53">
        <v>2008</v>
      </c>
      <c r="X7" s="71">
        <v>2014</v>
      </c>
      <c r="Y7" s="50">
        <v>2021</v>
      </c>
      <c r="Z7" s="61">
        <v>2015</v>
      </c>
      <c r="AA7" s="50">
        <v>2009</v>
      </c>
      <c r="AB7" s="61">
        <v>2019</v>
      </c>
      <c r="AC7" s="147">
        <v>2016</v>
      </c>
      <c r="AD7" s="53">
        <v>2017</v>
      </c>
      <c r="AE7" s="3" t="s">
        <v>40</v>
      </c>
    </row>
    <row r="8" spans="1:31" x14ac:dyDescent="0.25">
      <c r="A8" s="20" t="s">
        <v>41</v>
      </c>
      <c r="B8" s="66"/>
      <c r="C8" s="53">
        <v>2019</v>
      </c>
      <c r="D8" s="67"/>
      <c r="E8" s="50">
        <v>2019</v>
      </c>
      <c r="F8" s="61">
        <v>2016</v>
      </c>
      <c r="G8" s="59">
        <v>2017</v>
      </c>
      <c r="H8" s="60">
        <v>2017</v>
      </c>
      <c r="I8" s="59">
        <v>2009</v>
      </c>
      <c r="J8" s="53">
        <v>2016</v>
      </c>
      <c r="K8" s="50">
        <v>2013</v>
      </c>
      <c r="L8" s="61"/>
      <c r="M8" s="145">
        <v>2019</v>
      </c>
      <c r="N8" s="150"/>
      <c r="O8" s="71">
        <v>2017</v>
      </c>
      <c r="P8" s="67"/>
      <c r="Q8" s="50">
        <v>2015</v>
      </c>
      <c r="R8" s="61">
        <v>2017</v>
      </c>
      <c r="S8" s="53">
        <v>2015</v>
      </c>
      <c r="T8" s="67"/>
      <c r="U8" s="50">
        <v>2014</v>
      </c>
      <c r="V8" s="61">
        <v>2011</v>
      </c>
      <c r="W8" s="53">
        <v>2008</v>
      </c>
      <c r="X8" s="71">
        <v>2014</v>
      </c>
      <c r="Y8" s="50">
        <v>2021</v>
      </c>
      <c r="Z8" s="61">
        <v>2015</v>
      </c>
      <c r="AA8" s="50">
        <v>2009</v>
      </c>
      <c r="AB8" s="61">
        <v>2017</v>
      </c>
      <c r="AC8" s="147">
        <v>2016</v>
      </c>
      <c r="AD8" s="53">
        <v>2017</v>
      </c>
      <c r="AE8" s="3" t="s">
        <v>42</v>
      </c>
    </row>
    <row r="9" spans="1:31" x14ac:dyDescent="0.25">
      <c r="A9" s="20" t="s">
        <v>43</v>
      </c>
      <c r="B9" s="66"/>
      <c r="C9" s="53">
        <v>2019</v>
      </c>
      <c r="D9" s="67"/>
      <c r="E9" s="50">
        <v>2019</v>
      </c>
      <c r="F9" s="59">
        <v>2016</v>
      </c>
      <c r="G9" s="59">
        <v>2017</v>
      </c>
      <c r="H9" s="60">
        <v>2017</v>
      </c>
      <c r="I9" s="59">
        <v>2015</v>
      </c>
      <c r="J9" s="53">
        <v>2019</v>
      </c>
      <c r="K9" s="50">
        <v>2019</v>
      </c>
      <c r="L9" s="61"/>
      <c r="M9" s="145">
        <v>2019</v>
      </c>
      <c r="N9" s="150"/>
      <c r="O9" s="71">
        <v>2016</v>
      </c>
      <c r="P9" s="67"/>
      <c r="Q9" s="50">
        <v>2019</v>
      </c>
      <c r="R9" s="61">
        <v>2019</v>
      </c>
      <c r="S9" s="53">
        <v>2019</v>
      </c>
      <c r="T9" s="67"/>
      <c r="U9" s="50">
        <v>2020</v>
      </c>
      <c r="V9" s="61">
        <v>2018</v>
      </c>
      <c r="W9" s="53">
        <v>2018</v>
      </c>
      <c r="X9" s="71">
        <v>2018</v>
      </c>
      <c r="Y9" s="60">
        <v>2018</v>
      </c>
      <c r="Z9" s="61">
        <v>2018</v>
      </c>
      <c r="AA9" s="50">
        <v>2018</v>
      </c>
      <c r="AB9" s="59">
        <v>2019</v>
      </c>
      <c r="AC9" s="147">
        <v>2016</v>
      </c>
      <c r="AD9" s="71">
        <v>2017</v>
      </c>
      <c r="AE9" s="3" t="s">
        <v>42</v>
      </c>
    </row>
    <row r="10" spans="1:31" x14ac:dyDescent="0.25">
      <c r="A10" s="20" t="s">
        <v>44</v>
      </c>
      <c r="B10" s="66"/>
      <c r="C10" s="71">
        <v>2019</v>
      </c>
      <c r="D10" s="67"/>
      <c r="E10" s="60">
        <v>2019</v>
      </c>
      <c r="F10" s="59">
        <v>2021</v>
      </c>
      <c r="G10" s="59">
        <v>2020</v>
      </c>
      <c r="H10" s="60">
        <v>2020</v>
      </c>
      <c r="I10" s="59">
        <v>2019</v>
      </c>
      <c r="J10" s="71">
        <v>2021</v>
      </c>
      <c r="K10" s="60">
        <v>2021</v>
      </c>
      <c r="L10" s="61"/>
      <c r="M10" s="150"/>
      <c r="N10" s="150"/>
      <c r="O10" s="71"/>
      <c r="P10" s="67"/>
      <c r="Q10" s="60"/>
      <c r="R10" s="59"/>
      <c r="S10" s="71"/>
      <c r="T10" s="67"/>
      <c r="U10" s="60"/>
      <c r="V10" s="59"/>
      <c r="W10" s="71"/>
      <c r="X10" s="71"/>
      <c r="Y10" s="60"/>
      <c r="Z10" s="59"/>
      <c r="AA10" s="60"/>
      <c r="AB10" s="59"/>
      <c r="AC10" s="147"/>
      <c r="AD10" s="71"/>
      <c r="AE10" s="3" t="s">
        <v>45</v>
      </c>
    </row>
    <row r="11" spans="1:31" x14ac:dyDescent="0.25">
      <c r="A11" s="20" t="s">
        <v>46</v>
      </c>
      <c r="B11" s="66"/>
      <c r="C11" s="53">
        <v>2019</v>
      </c>
      <c r="D11" s="67"/>
      <c r="E11" s="50">
        <v>2019</v>
      </c>
      <c r="F11" s="59">
        <v>2016</v>
      </c>
      <c r="G11" s="59">
        <v>2017</v>
      </c>
      <c r="H11" s="60">
        <v>2017</v>
      </c>
      <c r="I11" s="59">
        <v>2015</v>
      </c>
      <c r="J11" s="53">
        <v>2019</v>
      </c>
      <c r="K11" s="60">
        <v>2019</v>
      </c>
      <c r="L11" s="61"/>
      <c r="M11" s="145">
        <v>2019</v>
      </c>
      <c r="N11" s="150"/>
      <c r="O11" s="71">
        <v>2016</v>
      </c>
      <c r="P11" s="67"/>
      <c r="Q11" s="50">
        <v>2019</v>
      </c>
      <c r="R11" s="61">
        <v>2019</v>
      </c>
      <c r="S11" s="53">
        <v>2019</v>
      </c>
      <c r="T11" s="67"/>
      <c r="U11" s="50">
        <v>2020</v>
      </c>
      <c r="V11" s="61">
        <v>2018</v>
      </c>
      <c r="W11" s="53">
        <v>2018</v>
      </c>
      <c r="X11" s="71">
        <v>2018</v>
      </c>
      <c r="Y11" s="60">
        <v>2018</v>
      </c>
      <c r="Z11" s="61">
        <v>2018</v>
      </c>
      <c r="AA11" s="50">
        <v>2018</v>
      </c>
      <c r="AB11" s="59">
        <v>2019</v>
      </c>
      <c r="AC11" s="147">
        <v>2016</v>
      </c>
      <c r="AD11" s="71">
        <v>2017</v>
      </c>
      <c r="AE11" s="3" t="s">
        <v>47</v>
      </c>
    </row>
    <row r="12" spans="1:31" x14ac:dyDescent="0.25">
      <c r="A12" s="20" t="s">
        <v>48</v>
      </c>
      <c r="B12" s="57"/>
      <c r="C12" s="67"/>
      <c r="D12" s="71"/>
      <c r="E12" s="69"/>
      <c r="F12" s="72"/>
      <c r="G12" s="72"/>
      <c r="H12" s="69"/>
      <c r="I12" s="72"/>
      <c r="J12" s="68"/>
      <c r="K12" s="69"/>
      <c r="L12" s="72"/>
      <c r="M12" s="149"/>
      <c r="N12" s="150"/>
      <c r="O12" s="149"/>
      <c r="P12" s="70">
        <v>2020</v>
      </c>
      <c r="Q12" s="69"/>
      <c r="R12" s="72"/>
      <c r="S12" s="68"/>
      <c r="T12" s="70">
        <v>2020</v>
      </c>
      <c r="U12" s="69"/>
      <c r="V12" s="72"/>
      <c r="W12" s="68"/>
      <c r="X12" s="68"/>
      <c r="Y12" s="69"/>
      <c r="Z12" s="72"/>
      <c r="AA12" s="69"/>
      <c r="AB12" s="72"/>
      <c r="AC12" s="147"/>
      <c r="AD12" s="68"/>
    </row>
    <row r="13" spans="1:31" x14ac:dyDescent="0.25">
      <c r="A13" s="20" t="s">
        <v>50</v>
      </c>
      <c r="B13" s="57"/>
      <c r="C13" s="53">
        <v>2019</v>
      </c>
      <c r="D13" s="58"/>
      <c r="E13" s="50">
        <v>2019</v>
      </c>
      <c r="F13" s="59">
        <v>2016</v>
      </c>
      <c r="G13" s="59">
        <v>2017</v>
      </c>
      <c r="H13" s="50">
        <v>2020</v>
      </c>
      <c r="I13" s="59">
        <v>2019</v>
      </c>
      <c r="J13" s="53">
        <v>2019</v>
      </c>
      <c r="K13" s="75">
        <v>2020</v>
      </c>
      <c r="L13" s="61"/>
      <c r="M13" s="150">
        <v>2018</v>
      </c>
      <c r="N13" s="150"/>
      <c r="O13" s="53">
        <v>2019</v>
      </c>
      <c r="P13" s="70">
        <v>2019</v>
      </c>
      <c r="Q13" s="50">
        <v>2018</v>
      </c>
      <c r="R13" s="59">
        <v>2017</v>
      </c>
      <c r="S13" s="71">
        <v>2018</v>
      </c>
      <c r="T13" s="62">
        <v>2020</v>
      </c>
      <c r="U13" s="50">
        <v>2020</v>
      </c>
      <c r="V13" s="59">
        <v>2017</v>
      </c>
      <c r="W13" s="53">
        <v>2019</v>
      </c>
      <c r="X13" s="71">
        <v>2012</v>
      </c>
      <c r="Y13" s="75">
        <v>2018</v>
      </c>
      <c r="Z13" s="61">
        <v>2020</v>
      </c>
      <c r="AA13" s="50">
        <v>2020</v>
      </c>
      <c r="AB13" s="61">
        <v>2021</v>
      </c>
      <c r="AC13" s="147">
        <v>2016</v>
      </c>
      <c r="AD13" s="53">
        <v>2021</v>
      </c>
      <c r="AE13" s="3" t="s">
        <v>51</v>
      </c>
    </row>
    <row r="14" spans="1:31" x14ac:dyDescent="0.25">
      <c r="A14" s="20" t="s">
        <v>52</v>
      </c>
      <c r="B14" s="57"/>
      <c r="C14" s="53">
        <v>2019</v>
      </c>
      <c r="D14" s="58"/>
      <c r="E14" s="50">
        <v>2019</v>
      </c>
      <c r="F14" s="61">
        <v>2021</v>
      </c>
      <c r="G14" s="61">
        <v>2020</v>
      </c>
      <c r="H14" s="50">
        <v>2020</v>
      </c>
      <c r="I14" s="59">
        <v>2019</v>
      </c>
      <c r="J14" s="53">
        <v>2019</v>
      </c>
      <c r="K14" s="75">
        <v>2020</v>
      </c>
      <c r="L14" s="61"/>
      <c r="M14" s="150">
        <v>2018</v>
      </c>
      <c r="N14" s="150"/>
      <c r="O14" s="71">
        <v>2018</v>
      </c>
      <c r="P14" s="70">
        <v>2019</v>
      </c>
      <c r="Q14" s="50">
        <v>2019</v>
      </c>
      <c r="R14" s="59">
        <v>2017</v>
      </c>
      <c r="S14" s="53">
        <v>2019</v>
      </c>
      <c r="T14" s="70">
        <v>2021</v>
      </c>
      <c r="U14" s="50">
        <v>2020</v>
      </c>
      <c r="V14" s="59">
        <v>2017</v>
      </c>
      <c r="W14" s="71">
        <v>2017</v>
      </c>
      <c r="X14" s="71">
        <v>2012</v>
      </c>
      <c r="Y14" s="50">
        <v>2021</v>
      </c>
      <c r="Z14" s="61">
        <v>2020</v>
      </c>
      <c r="AA14" s="50">
        <v>2018</v>
      </c>
      <c r="AB14" s="61">
        <v>2021</v>
      </c>
      <c r="AC14" s="147">
        <v>2016</v>
      </c>
      <c r="AD14" s="71">
        <v>2017</v>
      </c>
      <c r="AE14" s="3" t="s">
        <v>51</v>
      </c>
    </row>
    <row r="15" spans="1:31" x14ac:dyDescent="0.25">
      <c r="A15" s="20" t="s">
        <v>53</v>
      </c>
      <c r="B15" s="57"/>
      <c r="C15" s="53">
        <v>2019</v>
      </c>
      <c r="D15" s="58"/>
      <c r="E15" s="50">
        <v>2019</v>
      </c>
      <c r="F15" s="61">
        <v>2016</v>
      </c>
      <c r="G15" s="61">
        <v>2017</v>
      </c>
      <c r="H15" s="50">
        <v>2017</v>
      </c>
      <c r="I15" s="61">
        <v>2017</v>
      </c>
      <c r="J15" s="53"/>
      <c r="K15" s="75"/>
      <c r="L15" s="61"/>
      <c r="M15" s="145"/>
      <c r="N15" s="150"/>
      <c r="O15" s="53">
        <v>2017</v>
      </c>
      <c r="P15" s="81"/>
      <c r="Q15" s="50"/>
      <c r="R15" s="61"/>
      <c r="S15" s="53"/>
      <c r="T15" s="81">
        <v>2021</v>
      </c>
      <c r="U15" s="50">
        <v>2014</v>
      </c>
      <c r="V15" s="72"/>
      <c r="W15" s="65"/>
      <c r="X15" s="71"/>
      <c r="Y15" s="50"/>
      <c r="Z15" s="61">
        <v>2013</v>
      </c>
      <c r="AA15" s="50">
        <v>2009</v>
      </c>
      <c r="AB15" s="80"/>
      <c r="AC15" s="147"/>
      <c r="AD15" s="53">
        <v>2017</v>
      </c>
      <c r="AE15" s="3" t="s">
        <v>42</v>
      </c>
    </row>
    <row r="16" spans="1:31" x14ac:dyDescent="0.25">
      <c r="A16" s="20" t="s">
        <v>54</v>
      </c>
      <c r="B16" s="57"/>
      <c r="C16" s="71">
        <v>2019</v>
      </c>
      <c r="D16" s="58"/>
      <c r="E16" s="60">
        <v>2019</v>
      </c>
      <c r="F16" s="59">
        <v>2021</v>
      </c>
      <c r="G16" s="59">
        <v>2020</v>
      </c>
      <c r="H16" s="60">
        <v>2020</v>
      </c>
      <c r="I16" s="59">
        <v>2019</v>
      </c>
      <c r="J16" s="71"/>
      <c r="K16" s="60"/>
      <c r="L16" s="61"/>
      <c r="M16" s="150"/>
      <c r="N16" s="150"/>
      <c r="O16" s="71"/>
      <c r="P16" s="70"/>
      <c r="Q16" s="60"/>
      <c r="R16" s="59"/>
      <c r="S16" s="71"/>
      <c r="T16" s="70">
        <v>2021</v>
      </c>
      <c r="U16" s="60"/>
      <c r="V16" s="59"/>
      <c r="W16" s="71"/>
      <c r="X16" s="71"/>
      <c r="Y16" s="60"/>
      <c r="Z16" s="59"/>
      <c r="AA16" s="60"/>
      <c r="AB16" s="59"/>
      <c r="AC16" s="147"/>
      <c r="AD16" s="71"/>
      <c r="AE16" s="3" t="s">
        <v>55</v>
      </c>
    </row>
    <row r="17" spans="1:31" x14ac:dyDescent="0.25">
      <c r="A17" s="20" t="s">
        <v>56</v>
      </c>
      <c r="B17" s="57"/>
      <c r="C17" s="71">
        <v>2019</v>
      </c>
      <c r="D17" s="58"/>
      <c r="E17" s="60">
        <v>2019</v>
      </c>
      <c r="F17" s="72"/>
      <c r="G17" s="59">
        <v>2020</v>
      </c>
      <c r="H17" s="60">
        <v>2020</v>
      </c>
      <c r="I17" s="80"/>
      <c r="J17" s="71"/>
      <c r="K17" s="60"/>
      <c r="L17" s="72"/>
      <c r="M17" s="150"/>
      <c r="N17" s="150"/>
      <c r="O17" s="71"/>
      <c r="P17" s="70"/>
      <c r="Q17" s="60"/>
      <c r="R17" s="59"/>
      <c r="S17" s="71"/>
      <c r="T17" s="70">
        <v>2021</v>
      </c>
      <c r="U17" s="60"/>
      <c r="V17" s="72"/>
      <c r="W17" s="71"/>
      <c r="X17" s="71"/>
      <c r="Y17" s="60"/>
      <c r="Z17" s="59"/>
      <c r="AA17" s="60"/>
      <c r="AB17" s="59"/>
      <c r="AC17" s="147"/>
      <c r="AD17" s="71"/>
      <c r="AE17" s="3" t="s">
        <v>55</v>
      </c>
    </row>
    <row r="18" spans="1:31" x14ac:dyDescent="0.25">
      <c r="A18" s="20" t="s">
        <v>57</v>
      </c>
      <c r="B18" s="57"/>
      <c r="C18" s="53" t="s">
        <v>105</v>
      </c>
      <c r="D18" s="58"/>
      <c r="E18" s="74"/>
      <c r="F18" s="72"/>
      <c r="G18" s="59" t="s">
        <v>58</v>
      </c>
      <c r="H18" s="75" t="s">
        <v>59</v>
      </c>
      <c r="I18" s="59" t="s">
        <v>106</v>
      </c>
      <c r="J18" s="76" t="s">
        <v>121</v>
      </c>
      <c r="K18" s="161" t="s">
        <v>122</v>
      </c>
      <c r="L18" s="162"/>
      <c r="M18" s="150" t="s">
        <v>123</v>
      </c>
      <c r="N18" s="150" t="s">
        <v>37</v>
      </c>
      <c r="O18" s="53" t="s">
        <v>124</v>
      </c>
      <c r="P18" s="81"/>
      <c r="Q18" s="60" t="s">
        <v>108</v>
      </c>
      <c r="R18" s="61" t="s">
        <v>125</v>
      </c>
      <c r="S18" s="53" t="s">
        <v>111</v>
      </c>
      <c r="T18" s="62" t="s">
        <v>126</v>
      </c>
      <c r="U18" s="50" t="s">
        <v>127</v>
      </c>
      <c r="V18" s="72"/>
      <c r="W18" s="71" t="s">
        <v>64</v>
      </c>
      <c r="X18" s="65"/>
      <c r="Y18" s="69"/>
      <c r="Z18" s="61" t="s">
        <v>112</v>
      </c>
      <c r="AA18" s="50" t="s">
        <v>65</v>
      </c>
      <c r="AB18" s="61" t="s">
        <v>66</v>
      </c>
      <c r="AC18" s="147" t="s">
        <v>122</v>
      </c>
      <c r="AD18" s="65">
        <v>2017</v>
      </c>
      <c r="AE18" s="3" t="s">
        <v>67</v>
      </c>
    </row>
    <row r="19" spans="1:31" x14ac:dyDescent="0.25">
      <c r="A19" s="20" t="s">
        <v>128</v>
      </c>
      <c r="B19" s="66"/>
      <c r="C19" s="68"/>
      <c r="D19" s="73"/>
      <c r="E19" s="69"/>
      <c r="F19" s="72"/>
      <c r="G19" s="72"/>
      <c r="H19" s="69"/>
      <c r="I19" s="72"/>
      <c r="J19" s="68"/>
      <c r="K19" s="163"/>
      <c r="L19" s="162"/>
      <c r="M19" s="149"/>
      <c r="N19" s="150" t="s">
        <v>37</v>
      </c>
      <c r="O19" s="68"/>
      <c r="P19" s="67"/>
      <c r="Q19" s="69"/>
      <c r="R19" s="72"/>
      <c r="S19" s="68"/>
      <c r="T19" s="67"/>
      <c r="U19" s="69"/>
      <c r="V19" s="72"/>
      <c r="W19" s="68"/>
      <c r="X19" s="68"/>
      <c r="Y19" s="69"/>
      <c r="Z19" s="72"/>
      <c r="AA19" s="69"/>
      <c r="AB19" s="72"/>
      <c r="AC19" s="147"/>
      <c r="AD19" s="68"/>
    </row>
    <row r="20" spans="1:31" x14ac:dyDescent="0.25">
      <c r="A20" s="20" t="s">
        <v>69</v>
      </c>
      <c r="B20" s="57"/>
      <c r="C20" s="71">
        <v>2019</v>
      </c>
      <c r="D20" s="58"/>
      <c r="E20" s="75">
        <v>2016</v>
      </c>
      <c r="F20" s="72"/>
      <c r="G20" s="59">
        <v>2017</v>
      </c>
      <c r="H20" s="60">
        <v>2017</v>
      </c>
      <c r="I20" s="80"/>
      <c r="J20" s="71"/>
      <c r="K20" s="75"/>
      <c r="L20" s="72"/>
      <c r="M20" s="150"/>
      <c r="N20" s="150" t="s">
        <v>37</v>
      </c>
      <c r="O20" s="71"/>
      <c r="P20" s="81"/>
      <c r="Q20" s="50"/>
      <c r="R20" s="59"/>
      <c r="S20" s="53"/>
      <c r="T20" s="81">
        <v>2020</v>
      </c>
      <c r="U20" s="60"/>
      <c r="V20" s="72"/>
      <c r="W20" s="71"/>
      <c r="X20" s="71"/>
      <c r="Y20" s="60"/>
      <c r="Z20" s="61">
        <v>2020</v>
      </c>
      <c r="AA20" s="50">
        <v>2020</v>
      </c>
      <c r="AB20" s="61">
        <v>2021</v>
      </c>
      <c r="AC20" s="147"/>
      <c r="AD20" s="53">
        <v>2017</v>
      </c>
      <c r="AE20" s="3" t="s">
        <v>70</v>
      </c>
    </row>
    <row r="21" spans="1:31" x14ac:dyDescent="0.25">
      <c r="A21" s="20" t="s">
        <v>71</v>
      </c>
      <c r="B21" s="57"/>
      <c r="C21" s="53">
        <v>2016</v>
      </c>
      <c r="D21" s="58"/>
      <c r="E21" s="50">
        <v>2016</v>
      </c>
      <c r="F21" s="61">
        <v>2016</v>
      </c>
      <c r="G21" s="61">
        <v>2017</v>
      </c>
      <c r="H21" s="50">
        <v>2017</v>
      </c>
      <c r="I21" s="61">
        <v>2009</v>
      </c>
      <c r="J21" s="53">
        <v>2016</v>
      </c>
      <c r="K21" s="50">
        <v>2013</v>
      </c>
      <c r="L21" s="61"/>
      <c r="M21" s="145">
        <v>2019</v>
      </c>
      <c r="N21" s="150"/>
      <c r="O21" s="53">
        <v>2017</v>
      </c>
      <c r="P21" s="62">
        <v>2019</v>
      </c>
      <c r="Q21" s="50">
        <v>2015</v>
      </c>
      <c r="R21" s="61">
        <v>2017</v>
      </c>
      <c r="S21" s="53">
        <v>2015</v>
      </c>
      <c r="T21" s="62">
        <v>2020</v>
      </c>
      <c r="U21" s="50">
        <v>2014</v>
      </c>
      <c r="V21" s="72"/>
      <c r="W21" s="53">
        <v>2008</v>
      </c>
      <c r="X21" s="71">
        <v>2014</v>
      </c>
      <c r="Y21" s="50">
        <v>2021</v>
      </c>
      <c r="Z21" s="61">
        <v>2015</v>
      </c>
      <c r="AA21" s="50">
        <v>2009</v>
      </c>
      <c r="AB21" s="61">
        <v>2016</v>
      </c>
      <c r="AC21" s="147">
        <v>2016</v>
      </c>
      <c r="AD21" s="53">
        <v>2017</v>
      </c>
      <c r="AE21" s="3" t="s">
        <v>42</v>
      </c>
    </row>
    <row r="22" spans="1:31" x14ac:dyDescent="0.25">
      <c r="A22" s="20" t="s">
        <v>72</v>
      </c>
      <c r="B22" s="57"/>
      <c r="C22" s="53">
        <v>2016</v>
      </c>
      <c r="D22" s="58"/>
      <c r="E22" s="50">
        <v>2016</v>
      </c>
      <c r="F22" s="61">
        <v>2016</v>
      </c>
      <c r="G22" s="61">
        <v>2017</v>
      </c>
      <c r="H22" s="50">
        <v>2017</v>
      </c>
      <c r="I22" s="61">
        <v>2009</v>
      </c>
      <c r="J22" s="53">
        <v>2016</v>
      </c>
      <c r="K22" s="50">
        <v>2013</v>
      </c>
      <c r="L22" s="61"/>
      <c r="M22" s="145">
        <v>2019</v>
      </c>
      <c r="N22" s="150"/>
      <c r="O22" s="53">
        <v>2017</v>
      </c>
      <c r="P22" s="62">
        <v>2019</v>
      </c>
      <c r="Q22" s="50">
        <v>2015</v>
      </c>
      <c r="R22" s="61">
        <v>2017</v>
      </c>
      <c r="S22" s="53">
        <v>2015</v>
      </c>
      <c r="T22" s="62">
        <v>2020</v>
      </c>
      <c r="U22" s="50">
        <v>2014</v>
      </c>
      <c r="V22" s="61">
        <v>2011</v>
      </c>
      <c r="W22" s="53">
        <v>2008</v>
      </c>
      <c r="X22" s="71">
        <v>2014</v>
      </c>
      <c r="Y22" s="50">
        <v>2021</v>
      </c>
      <c r="Z22" s="61">
        <v>2015</v>
      </c>
      <c r="AA22" s="50">
        <v>2009</v>
      </c>
      <c r="AB22" s="61">
        <v>2016</v>
      </c>
      <c r="AC22" s="147">
        <v>2016</v>
      </c>
      <c r="AD22" s="53">
        <v>2017</v>
      </c>
      <c r="AE22" s="3" t="s">
        <v>42</v>
      </c>
    </row>
    <row r="23" spans="1:31" x14ac:dyDescent="0.25">
      <c r="A23" s="20" t="s">
        <v>73</v>
      </c>
      <c r="B23" s="66"/>
      <c r="C23" s="53">
        <v>2006</v>
      </c>
      <c r="D23" s="73"/>
      <c r="E23" s="50">
        <v>2016</v>
      </c>
      <c r="F23" s="61">
        <v>2016</v>
      </c>
      <c r="G23" s="61">
        <v>2017</v>
      </c>
      <c r="H23" s="50">
        <v>2017</v>
      </c>
      <c r="I23" s="61">
        <v>2009</v>
      </c>
      <c r="J23" s="53">
        <v>2016</v>
      </c>
      <c r="K23" s="50">
        <v>2013</v>
      </c>
      <c r="L23" s="61"/>
      <c r="M23" s="145">
        <v>2019</v>
      </c>
      <c r="N23" s="149"/>
      <c r="O23" s="53">
        <v>2017</v>
      </c>
      <c r="P23" s="67"/>
      <c r="Q23" s="50">
        <v>2015</v>
      </c>
      <c r="R23" s="61">
        <v>2017</v>
      </c>
      <c r="S23" s="53">
        <v>2015</v>
      </c>
      <c r="T23" s="67"/>
      <c r="U23" s="50">
        <v>2014</v>
      </c>
      <c r="V23" s="61">
        <v>2011</v>
      </c>
      <c r="W23" s="53">
        <v>2008</v>
      </c>
      <c r="X23" s="71">
        <v>2014</v>
      </c>
      <c r="Y23" s="50">
        <v>2021</v>
      </c>
      <c r="Z23" s="61">
        <v>2015</v>
      </c>
      <c r="AA23" s="50">
        <v>2009</v>
      </c>
      <c r="AB23" s="80">
        <v>2016</v>
      </c>
      <c r="AC23" s="147">
        <v>2016</v>
      </c>
      <c r="AD23" s="53">
        <v>2017</v>
      </c>
      <c r="AE23" s="3" t="s">
        <v>42</v>
      </c>
    </row>
    <row r="24" spans="1:31" x14ac:dyDescent="0.25">
      <c r="A24" s="20" t="s">
        <v>74</v>
      </c>
      <c r="B24" s="57"/>
      <c r="C24" s="53">
        <v>2016</v>
      </c>
      <c r="D24" s="58"/>
      <c r="E24" s="50">
        <v>2016</v>
      </c>
      <c r="F24" s="61">
        <v>2016</v>
      </c>
      <c r="G24" s="61">
        <v>2017</v>
      </c>
      <c r="H24" s="50">
        <v>2017</v>
      </c>
      <c r="I24" s="61">
        <v>2009</v>
      </c>
      <c r="J24" s="53">
        <v>2016</v>
      </c>
      <c r="K24" s="50">
        <v>2013</v>
      </c>
      <c r="L24" s="61"/>
      <c r="M24" s="145">
        <v>2019</v>
      </c>
      <c r="N24" s="150"/>
      <c r="O24" s="53">
        <v>2017</v>
      </c>
      <c r="P24" s="62">
        <v>2019</v>
      </c>
      <c r="Q24" s="50">
        <v>2015</v>
      </c>
      <c r="R24" s="61">
        <v>2017</v>
      </c>
      <c r="S24" s="53">
        <v>2015</v>
      </c>
      <c r="T24" s="62">
        <v>2020</v>
      </c>
      <c r="U24" s="50">
        <v>2014</v>
      </c>
      <c r="V24" s="61">
        <v>2011</v>
      </c>
      <c r="W24" s="53">
        <v>2008</v>
      </c>
      <c r="X24" s="71">
        <v>2014</v>
      </c>
      <c r="Y24" s="50">
        <v>2015</v>
      </c>
      <c r="Z24" s="61">
        <v>2015</v>
      </c>
      <c r="AA24" s="50">
        <v>2009</v>
      </c>
      <c r="AB24" s="61">
        <v>2016</v>
      </c>
      <c r="AC24" s="147">
        <v>2016</v>
      </c>
      <c r="AD24" s="53">
        <v>2017</v>
      </c>
      <c r="AE24" s="3" t="s">
        <v>42</v>
      </c>
    </row>
    <row r="25" spans="1:31" x14ac:dyDescent="0.25">
      <c r="A25" s="20" t="s">
        <v>75</v>
      </c>
      <c r="B25" s="57"/>
      <c r="C25" s="53">
        <v>2019</v>
      </c>
      <c r="D25" s="58"/>
      <c r="E25" s="50">
        <v>2019</v>
      </c>
      <c r="F25" s="61">
        <v>2016</v>
      </c>
      <c r="G25" s="61">
        <v>2017</v>
      </c>
      <c r="H25" s="50">
        <v>2017</v>
      </c>
      <c r="I25" s="59">
        <v>2016</v>
      </c>
      <c r="J25" s="53">
        <v>2017</v>
      </c>
      <c r="K25" s="50">
        <v>2017</v>
      </c>
      <c r="L25" s="61"/>
      <c r="M25" s="145">
        <v>2017</v>
      </c>
      <c r="N25" s="150"/>
      <c r="O25" s="53">
        <v>2016</v>
      </c>
      <c r="P25" s="62">
        <v>2019</v>
      </c>
      <c r="Q25" s="50">
        <v>2015</v>
      </c>
      <c r="R25" s="61">
        <v>2017</v>
      </c>
      <c r="S25" s="53">
        <v>2015</v>
      </c>
      <c r="T25" s="62">
        <v>2020</v>
      </c>
      <c r="U25" s="50">
        <v>2018</v>
      </c>
      <c r="V25" s="61">
        <v>2017</v>
      </c>
      <c r="W25" s="53">
        <v>2015</v>
      </c>
      <c r="X25" s="71">
        <v>2014</v>
      </c>
      <c r="Y25" s="50">
        <v>2020</v>
      </c>
      <c r="Z25" s="61">
        <v>2017</v>
      </c>
      <c r="AA25" s="50">
        <v>2015</v>
      </c>
      <c r="AB25" s="61">
        <v>2019</v>
      </c>
      <c r="AC25" s="147">
        <v>2016</v>
      </c>
      <c r="AD25" s="53">
        <v>2018</v>
      </c>
      <c r="AE25" s="3" t="s">
        <v>76</v>
      </c>
    </row>
    <row r="26" spans="1:31" x14ac:dyDescent="0.25">
      <c r="A26" s="20" t="s">
        <v>77</v>
      </c>
      <c r="B26" s="66"/>
      <c r="C26" s="68"/>
      <c r="D26" s="73"/>
      <c r="E26" s="69"/>
      <c r="F26" s="72"/>
      <c r="G26" s="72"/>
      <c r="H26" s="69"/>
      <c r="I26" s="72"/>
      <c r="J26" s="68"/>
      <c r="K26" s="75">
        <v>2018</v>
      </c>
      <c r="L26" s="72"/>
      <c r="M26" s="149"/>
      <c r="N26" s="149"/>
      <c r="O26" s="65">
        <v>2020</v>
      </c>
      <c r="P26" s="67"/>
      <c r="Q26" s="75">
        <v>2018</v>
      </c>
      <c r="R26" s="72"/>
      <c r="S26" s="68"/>
      <c r="T26" s="67"/>
      <c r="U26" s="69"/>
      <c r="V26" s="72"/>
      <c r="W26" s="68"/>
      <c r="X26" s="71">
        <v>2018</v>
      </c>
      <c r="Y26" s="69"/>
      <c r="Z26" s="72"/>
      <c r="AA26" s="69"/>
      <c r="AB26" s="72"/>
      <c r="AC26" s="147"/>
      <c r="AD26" s="65">
        <v>2018</v>
      </c>
      <c r="AE26" s="3" t="s">
        <v>76</v>
      </c>
    </row>
    <row r="27" spans="1:31" x14ac:dyDescent="0.25">
      <c r="A27" s="20" t="s">
        <v>78</v>
      </c>
      <c r="B27" s="57"/>
      <c r="C27" s="53">
        <v>2016</v>
      </c>
      <c r="D27" s="58"/>
      <c r="E27" s="50">
        <v>2016</v>
      </c>
      <c r="F27" s="61">
        <v>2016</v>
      </c>
      <c r="G27" s="61">
        <v>2017</v>
      </c>
      <c r="H27" s="50">
        <v>2017</v>
      </c>
      <c r="I27" s="61"/>
      <c r="J27" s="53"/>
      <c r="K27" s="50"/>
      <c r="L27" s="61"/>
      <c r="M27" s="145"/>
      <c r="N27" s="150"/>
      <c r="O27" s="53">
        <v>2017</v>
      </c>
      <c r="P27" s="62">
        <v>2019</v>
      </c>
      <c r="Q27" s="50">
        <v>2015</v>
      </c>
      <c r="R27" s="61">
        <v>2017</v>
      </c>
      <c r="S27" s="53">
        <v>2015</v>
      </c>
      <c r="T27" s="62">
        <v>2020</v>
      </c>
      <c r="U27" s="50">
        <v>2014</v>
      </c>
      <c r="V27" s="61"/>
      <c r="W27" s="53"/>
      <c r="X27" s="71"/>
      <c r="Y27" s="50"/>
      <c r="Z27" s="61">
        <v>2015</v>
      </c>
      <c r="AA27" s="50">
        <v>2009</v>
      </c>
      <c r="AB27" s="61"/>
      <c r="AC27" s="147"/>
      <c r="AD27" s="53">
        <v>2017</v>
      </c>
      <c r="AE27" s="3" t="s">
        <v>42</v>
      </c>
    </row>
    <row r="28" spans="1:31" x14ac:dyDescent="0.25">
      <c r="A28" s="20" t="s">
        <v>79</v>
      </c>
      <c r="B28" s="57">
        <v>1</v>
      </c>
      <c r="C28" s="82"/>
      <c r="D28" s="58">
        <v>1</v>
      </c>
      <c r="E28" s="83"/>
      <c r="F28" s="84"/>
      <c r="G28" s="84"/>
      <c r="H28" s="83"/>
      <c r="I28" s="84"/>
      <c r="J28" s="82"/>
      <c r="K28" s="60">
        <v>1</v>
      </c>
      <c r="L28" s="84"/>
      <c r="M28" s="100"/>
      <c r="N28" s="150">
        <v>1</v>
      </c>
      <c r="O28" s="82"/>
      <c r="P28" s="85"/>
      <c r="Q28" s="83"/>
      <c r="R28" s="84"/>
      <c r="S28" s="82"/>
      <c r="T28" s="85"/>
      <c r="U28" s="83"/>
      <c r="V28" s="84"/>
      <c r="W28" s="82"/>
      <c r="X28" s="71">
        <v>1</v>
      </c>
      <c r="Y28" s="91">
        <v>0</v>
      </c>
      <c r="Z28" s="84"/>
      <c r="AA28" s="83"/>
      <c r="AB28" s="84"/>
      <c r="AC28" s="147">
        <v>0</v>
      </c>
      <c r="AD28" s="82"/>
    </row>
    <row r="29" spans="1:31" x14ac:dyDescent="0.25">
      <c r="A29" s="20" t="s">
        <v>80</v>
      </c>
      <c r="B29" s="57">
        <v>1</v>
      </c>
      <c r="C29" s="82"/>
      <c r="D29" s="58">
        <v>1</v>
      </c>
      <c r="E29" s="83"/>
      <c r="F29" s="84"/>
      <c r="G29" s="84"/>
      <c r="H29" s="83"/>
      <c r="I29" s="84"/>
      <c r="J29" s="82"/>
      <c r="K29" s="60">
        <v>1</v>
      </c>
      <c r="L29" s="84"/>
      <c r="M29" s="100"/>
      <c r="N29" s="150">
        <v>1</v>
      </c>
      <c r="O29" s="82"/>
      <c r="P29" s="85"/>
      <c r="Q29" s="83"/>
      <c r="R29" s="84"/>
      <c r="S29" s="82"/>
      <c r="T29" s="85"/>
      <c r="U29" s="83"/>
      <c r="V29" s="84"/>
      <c r="W29" s="82"/>
      <c r="X29" s="71">
        <v>1</v>
      </c>
      <c r="Y29" s="91">
        <v>0</v>
      </c>
      <c r="Z29" s="84"/>
      <c r="AA29" s="83"/>
      <c r="AB29" s="84"/>
      <c r="AC29" s="147">
        <v>0</v>
      </c>
      <c r="AD29" s="82"/>
      <c r="AE29" s="3" t="s">
        <v>42</v>
      </c>
    </row>
    <row r="30" spans="1:31" x14ac:dyDescent="0.25">
      <c r="A30" s="20" t="s">
        <v>129</v>
      </c>
      <c r="B30" s="57">
        <v>1</v>
      </c>
      <c r="C30" s="82"/>
      <c r="D30" s="58">
        <v>1</v>
      </c>
      <c r="E30" s="83"/>
      <c r="F30" s="84"/>
      <c r="G30" s="84"/>
      <c r="H30" s="83"/>
      <c r="I30" s="84"/>
      <c r="J30" s="82"/>
      <c r="K30" s="60">
        <v>1</v>
      </c>
      <c r="L30" s="84"/>
      <c r="M30" s="100"/>
      <c r="N30" s="150">
        <v>1</v>
      </c>
      <c r="O30" s="82"/>
      <c r="P30" s="85"/>
      <c r="Q30" s="83"/>
      <c r="R30" s="84"/>
      <c r="S30" s="82"/>
      <c r="T30" s="85"/>
      <c r="U30" s="83"/>
      <c r="V30" s="84"/>
      <c r="W30" s="82"/>
      <c r="X30" s="71">
        <v>1</v>
      </c>
      <c r="Y30" s="91">
        <v>0</v>
      </c>
      <c r="Z30" s="84"/>
      <c r="AA30" s="83"/>
      <c r="AB30" s="84"/>
      <c r="AC30" s="147">
        <v>0</v>
      </c>
      <c r="AD30" s="82"/>
    </row>
    <row r="31" spans="1:31" x14ac:dyDescent="0.25">
      <c r="A31" s="20" t="s">
        <v>82</v>
      </c>
      <c r="B31" s="87">
        <v>4</v>
      </c>
      <c r="C31" s="82">
        <v>4</v>
      </c>
      <c r="D31" s="89">
        <v>4</v>
      </c>
      <c r="E31" s="83">
        <v>4</v>
      </c>
      <c r="F31" s="84">
        <v>3</v>
      </c>
      <c r="G31" s="84">
        <v>4</v>
      </c>
      <c r="H31" s="83">
        <v>4</v>
      </c>
      <c r="I31" s="84">
        <v>4</v>
      </c>
      <c r="J31" s="82">
        <v>4</v>
      </c>
      <c r="K31" s="83">
        <v>4</v>
      </c>
      <c r="L31" s="84">
        <v>0</v>
      </c>
      <c r="M31" s="100">
        <v>4</v>
      </c>
      <c r="N31" s="100">
        <v>4</v>
      </c>
      <c r="O31" s="82">
        <v>4</v>
      </c>
      <c r="P31" s="85">
        <v>4</v>
      </c>
      <c r="Q31" s="83">
        <v>4</v>
      </c>
      <c r="R31" s="84">
        <v>4</v>
      </c>
      <c r="S31" s="82">
        <v>4</v>
      </c>
      <c r="T31" s="85">
        <v>4</v>
      </c>
      <c r="U31" s="83">
        <v>4</v>
      </c>
      <c r="V31" s="84">
        <v>0</v>
      </c>
      <c r="W31" s="82">
        <v>4</v>
      </c>
      <c r="X31" s="82">
        <v>4</v>
      </c>
      <c r="Y31" s="83">
        <v>4</v>
      </c>
      <c r="Z31" s="84">
        <v>4</v>
      </c>
      <c r="AA31" s="83">
        <v>4</v>
      </c>
      <c r="AB31" s="84">
        <v>4</v>
      </c>
      <c r="AC31" s="147">
        <v>0</v>
      </c>
      <c r="AD31" s="82">
        <v>4</v>
      </c>
    </row>
    <row r="32" spans="1:31" x14ac:dyDescent="0.25">
      <c r="A32" s="20" t="s">
        <v>83</v>
      </c>
      <c r="B32" s="87"/>
      <c r="C32" s="82"/>
      <c r="D32" s="89"/>
      <c r="E32" s="83"/>
      <c r="F32" s="84"/>
      <c r="G32" s="84"/>
      <c r="H32" s="83"/>
      <c r="I32" s="93"/>
      <c r="J32" s="82"/>
      <c r="K32" s="83"/>
      <c r="L32" s="84"/>
      <c r="M32" s="100"/>
      <c r="N32" s="100"/>
      <c r="O32" s="82"/>
      <c r="P32" s="85"/>
      <c r="Q32" s="83"/>
      <c r="R32" s="84"/>
      <c r="S32" s="82"/>
      <c r="T32" s="85"/>
      <c r="U32" s="83"/>
      <c r="V32" s="84"/>
      <c r="W32" s="82"/>
      <c r="X32" s="82"/>
      <c r="Y32" s="83"/>
      <c r="Z32" s="84"/>
      <c r="AA32" s="83"/>
      <c r="AB32" s="84"/>
      <c r="AC32" s="147"/>
      <c r="AD32" s="82"/>
    </row>
    <row r="33" spans="1:30" x14ac:dyDescent="0.25">
      <c r="A33" s="20" t="s">
        <v>84</v>
      </c>
      <c r="B33" s="87"/>
      <c r="C33" s="1"/>
      <c r="D33" s="1"/>
      <c r="E33" s="1"/>
      <c r="F33" s="84"/>
      <c r="G33" s="84"/>
      <c r="H33" s="83"/>
      <c r="I33" s="94">
        <v>0</v>
      </c>
      <c r="J33" s="1"/>
      <c r="K33" s="83"/>
      <c r="L33" s="1"/>
      <c r="M33" s="1"/>
      <c r="N33" s="1"/>
      <c r="O33" s="1"/>
      <c r="P33" s="1"/>
      <c r="Q33" s="83"/>
      <c r="R33" s="1"/>
      <c r="S33" s="1">
        <v>0</v>
      </c>
      <c r="T33" s="94"/>
      <c r="U33" s="83"/>
      <c r="V33" s="1">
        <v>0</v>
      </c>
      <c r="W33" s="94"/>
      <c r="X33" s="1"/>
      <c r="Y33" s="83"/>
      <c r="Z33" s="94">
        <v>0</v>
      </c>
      <c r="AA33" s="83"/>
      <c r="AB33" s="1">
        <v>0</v>
      </c>
      <c r="AC33" s="154"/>
      <c r="AD33" s="1"/>
    </row>
    <row r="34" spans="1:30" x14ac:dyDescent="0.25">
      <c r="A34" s="20" t="s">
        <v>85</v>
      </c>
      <c r="B34" s="87"/>
      <c r="C34" s="1">
        <f>C31+E31-C32-E32-C33</f>
        <v>8</v>
      </c>
      <c r="D34" s="1"/>
      <c r="E34" s="1"/>
      <c r="F34" s="84"/>
      <c r="G34" s="84"/>
      <c r="H34" s="83"/>
      <c r="I34" s="94">
        <f>I31+J31+K31-I32-J32-K32-I33</f>
        <v>12</v>
      </c>
      <c r="J34" s="1"/>
      <c r="K34" s="83"/>
      <c r="L34" s="1"/>
      <c r="M34" s="1"/>
      <c r="N34" s="1"/>
      <c r="O34" s="1"/>
      <c r="P34" s="1">
        <f>M31+O31+P31+P32+Q31-M32-O32-Q32-P33</f>
        <v>16</v>
      </c>
      <c r="Q34" s="83"/>
      <c r="R34" s="1"/>
      <c r="S34" s="1">
        <f>R31+S31+U31-R32-S32-U32-S33</f>
        <v>12</v>
      </c>
      <c r="T34" s="94"/>
      <c r="U34" s="83"/>
      <c r="V34" s="1">
        <f>V31+W31+X31+Y31-V32-W32-X32-Y32-V33</f>
        <v>12</v>
      </c>
      <c r="W34" s="94"/>
      <c r="X34" s="1"/>
      <c r="Y34" s="83"/>
      <c r="Z34" s="94">
        <f>Z31+AA31-Z32-AA32-Z33</f>
        <v>8</v>
      </c>
      <c r="AA34" s="83"/>
      <c r="AB34" s="1">
        <f>AB31+AC31+AD31-AB32-AC32-AB33-AD33</f>
        <v>8</v>
      </c>
      <c r="AC34" s="154"/>
      <c r="AD34" s="1"/>
    </row>
    <row r="35" spans="1:30" x14ac:dyDescent="0.25">
      <c r="A35" s="20" t="s">
        <v>86</v>
      </c>
      <c r="B35" s="87"/>
      <c r="C35" s="1"/>
      <c r="D35" s="1"/>
      <c r="E35" s="1"/>
      <c r="F35" s="84"/>
      <c r="G35" s="84"/>
      <c r="H35" s="83"/>
      <c r="I35" s="94"/>
      <c r="J35" s="1"/>
      <c r="K35" s="83"/>
      <c r="L35" s="1"/>
      <c r="M35" s="1"/>
      <c r="N35" s="1"/>
      <c r="O35" s="1"/>
      <c r="P35" s="1"/>
      <c r="Q35" s="83"/>
      <c r="R35" s="1"/>
      <c r="S35" s="1"/>
      <c r="T35" s="94"/>
      <c r="U35" s="83"/>
      <c r="V35" s="1"/>
      <c r="W35" s="94"/>
      <c r="X35" s="1"/>
      <c r="Y35" s="83"/>
      <c r="Z35" s="94"/>
      <c r="AA35" s="83"/>
      <c r="AB35" s="1"/>
      <c r="AC35" s="154"/>
      <c r="AD35" s="1"/>
    </row>
    <row r="36" spans="1:30" x14ac:dyDescent="0.25">
      <c r="A36" s="20" t="s">
        <v>130</v>
      </c>
      <c r="B36" s="87"/>
      <c r="C36" s="97" t="s">
        <v>114</v>
      </c>
      <c r="D36" s="97"/>
      <c r="E36" s="97"/>
      <c r="F36" s="84"/>
      <c r="G36" s="84"/>
      <c r="H36" s="83"/>
      <c r="I36" s="98"/>
      <c r="J36" s="97"/>
      <c r="K36" s="83"/>
      <c r="L36" s="1"/>
      <c r="M36" s="1"/>
      <c r="N36" s="1"/>
      <c r="O36" s="1"/>
      <c r="P36" s="1"/>
      <c r="Q36" s="83"/>
      <c r="R36" s="1"/>
      <c r="S36" s="94"/>
      <c r="T36" s="1"/>
      <c r="U36" s="83"/>
      <c r="V36" s="1"/>
      <c r="W36" s="94"/>
      <c r="X36" s="1"/>
      <c r="Y36" s="83"/>
      <c r="Z36" s="94"/>
      <c r="AA36" s="83"/>
      <c r="AB36" s="1" t="s">
        <v>114</v>
      </c>
      <c r="AC36" s="154"/>
      <c r="AD36" s="1"/>
    </row>
    <row r="37" spans="1:30" s="118" customFormat="1" x14ac:dyDescent="0.25">
      <c r="A37" s="113" t="s">
        <v>89</v>
      </c>
      <c r="B37" s="114"/>
      <c r="C37" s="97"/>
      <c r="D37" s="115"/>
      <c r="E37" s="116"/>
      <c r="F37" s="117"/>
      <c r="G37" s="117"/>
      <c r="H37" s="116"/>
      <c r="I37" s="117"/>
      <c r="J37" s="97"/>
      <c r="K37" s="83"/>
      <c r="L37" s="97"/>
      <c r="M37" s="97"/>
      <c r="N37" s="98"/>
      <c r="O37" s="98"/>
      <c r="P37" s="98"/>
      <c r="Q37" s="83"/>
      <c r="R37" s="97"/>
      <c r="S37" s="97"/>
      <c r="T37" s="98"/>
      <c r="U37" s="83"/>
      <c r="V37" s="97"/>
      <c r="W37" s="98"/>
      <c r="X37" s="97"/>
      <c r="Y37" s="83"/>
      <c r="Z37" s="98"/>
      <c r="AA37" s="83"/>
      <c r="AB37" s="97"/>
      <c r="AC37" s="156"/>
      <c r="AD37" s="97"/>
    </row>
    <row r="38" spans="1:30" s="64" customFormat="1" x14ac:dyDescent="0.25">
      <c r="A38" s="62" t="s">
        <v>91</v>
      </c>
      <c r="B38" s="52"/>
      <c r="C38" s="119"/>
      <c r="D38" s="52"/>
      <c r="E38" s="52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s="121" customFormat="1" x14ac:dyDescent="0.25">
      <c r="A39" s="86" t="s">
        <v>93</v>
      </c>
      <c r="B39" s="90"/>
      <c r="C39" s="120"/>
      <c r="D39" s="90"/>
      <c r="E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spans="1:30" s="122" customFormat="1" x14ac:dyDescent="0.25">
      <c r="A40" s="81" t="s">
        <v>94</v>
      </c>
      <c r="B40" s="78"/>
      <c r="D40" s="65"/>
      <c r="E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</row>
    <row r="41" spans="1:30" s="58" customFormat="1" x14ac:dyDescent="0.25">
      <c r="A41" s="70" t="s">
        <v>95</v>
      </c>
      <c r="B41" s="57"/>
      <c r="C41" s="123"/>
      <c r="D41" s="57"/>
      <c r="E41" s="57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spans="1:30" s="126" customFormat="1" x14ac:dyDescent="0.25">
      <c r="A42" s="124" t="s">
        <v>96</v>
      </c>
      <c r="B42" s="125"/>
      <c r="D42" s="127"/>
      <c r="E42" s="127"/>
      <c r="F42" s="124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</row>
    <row r="43" spans="1:30" s="132" customFormat="1" x14ac:dyDescent="0.25">
      <c r="A43" s="128" t="s">
        <v>97</v>
      </c>
      <c r="B43" s="129"/>
      <c r="C43" s="130"/>
      <c r="D43" s="131"/>
      <c r="E43" s="131"/>
      <c r="F43" s="128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</row>
    <row r="44" spans="1:30" s="3" customFormat="1" x14ac:dyDescent="0.25">
      <c r="A44" s="133" t="s">
        <v>98</v>
      </c>
    </row>
    <row r="45" spans="1:30" s="3" customFormat="1" x14ac:dyDescent="0.25">
      <c r="A45" s="134"/>
    </row>
    <row r="46" spans="1:30" s="3" customFormat="1" x14ac:dyDescent="0.25"/>
    <row r="47" spans="1:30" s="3" customFormat="1" x14ac:dyDescent="0.25"/>
    <row r="48" spans="1:30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41"/>
  <sheetViews>
    <sheetView zoomScaleNormal="100" workbookViewId="0">
      <selection activeCell="L15" sqref="L15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6" customWidth="1"/>
    <col min="11" max="12" width="7.28515625" style="3" customWidth="1"/>
    <col min="13" max="13" width="7.28515625" style="5" customWidth="1"/>
    <col min="14" max="14" width="7.28515625" style="4" customWidth="1"/>
    <col min="15" max="15" width="7.28515625" style="3" customWidth="1"/>
    <col min="16" max="16" width="7.28515625" style="5" customWidth="1"/>
    <col min="17" max="17" width="7.28515625" style="4" customWidth="1"/>
    <col min="18" max="19" width="7.28515625" style="3" customWidth="1"/>
    <col min="20" max="20" width="7.28515625" style="5" customWidth="1"/>
    <col min="21" max="21" width="7.28515625" style="4" customWidth="1"/>
    <col min="22" max="22" width="7.28515625" style="5" customWidth="1"/>
    <col min="23" max="23" width="7.28515625" style="4" customWidth="1"/>
    <col min="24" max="24" width="7.28515625" style="3" customWidth="1"/>
    <col min="25" max="25" width="8.140625" style="3" customWidth="1"/>
    <col min="26" max="26" width="8.85546875" style="164"/>
    <col min="27" max="1024" width="8.85546875" style="3"/>
  </cols>
  <sheetData>
    <row r="1" spans="1:27" s="19" customFormat="1" x14ac:dyDescent="0.25">
      <c r="A1" s="7"/>
      <c r="B1" s="9" t="s">
        <v>0</v>
      </c>
      <c r="C1" s="10" t="s">
        <v>1</v>
      </c>
      <c r="D1" s="9" t="s">
        <v>99</v>
      </c>
      <c r="E1" s="9" t="s">
        <v>2</v>
      </c>
      <c r="F1" s="10" t="s">
        <v>3</v>
      </c>
      <c r="G1" s="9" t="s">
        <v>4</v>
      </c>
      <c r="H1" s="11" t="s">
        <v>5</v>
      </c>
      <c r="I1" s="10" t="s">
        <v>6</v>
      </c>
      <c r="J1" s="9" t="s">
        <v>100</v>
      </c>
      <c r="K1" s="13" t="s">
        <v>7</v>
      </c>
      <c r="L1" s="11" t="s">
        <v>8</v>
      </c>
      <c r="M1" s="10" t="s">
        <v>9</v>
      </c>
      <c r="N1" s="9" t="s">
        <v>10</v>
      </c>
      <c r="O1" s="11" t="s">
        <v>11</v>
      </c>
      <c r="P1" s="10" t="s">
        <v>13</v>
      </c>
      <c r="Q1" s="9" t="s">
        <v>14</v>
      </c>
      <c r="R1" s="11" t="s">
        <v>15</v>
      </c>
      <c r="S1" s="11" t="s">
        <v>16</v>
      </c>
      <c r="T1" s="10" t="s">
        <v>101</v>
      </c>
      <c r="U1" s="9" t="s">
        <v>19</v>
      </c>
      <c r="V1" s="10" t="s">
        <v>20</v>
      </c>
      <c r="W1" s="9" t="s">
        <v>21</v>
      </c>
      <c r="X1" s="12" t="s">
        <v>102</v>
      </c>
      <c r="Y1" s="11" t="s">
        <v>23</v>
      </c>
      <c r="Z1" s="165" t="s">
        <v>131</v>
      </c>
    </row>
    <row r="2" spans="1:27" x14ac:dyDescent="0.25">
      <c r="A2" s="20" t="s">
        <v>24</v>
      </c>
      <c r="B2" s="25"/>
      <c r="C2" s="24"/>
      <c r="D2" s="25"/>
      <c r="E2" s="25"/>
      <c r="F2" s="24"/>
      <c r="G2" s="25"/>
      <c r="H2" s="22"/>
      <c r="I2" s="24"/>
      <c r="J2" s="25"/>
      <c r="K2" s="28"/>
      <c r="L2" s="22"/>
      <c r="M2" s="24"/>
      <c r="N2" s="25"/>
      <c r="O2" s="22"/>
      <c r="P2" s="24"/>
      <c r="Q2" s="25"/>
      <c r="R2" s="22"/>
      <c r="S2" s="22"/>
      <c r="T2" s="24"/>
      <c r="U2" s="25"/>
      <c r="V2" s="24"/>
      <c r="W2" s="25"/>
      <c r="X2" s="26"/>
      <c r="Y2" s="22"/>
      <c r="Z2" s="166"/>
    </row>
    <row r="3" spans="1:27" s="38" customFormat="1" x14ac:dyDescent="0.25">
      <c r="A3" s="29" t="s">
        <v>25</v>
      </c>
      <c r="B3" s="158" t="s">
        <v>132</v>
      </c>
      <c r="C3" s="35" t="s">
        <v>132</v>
      </c>
      <c r="D3" s="158" t="s">
        <v>132</v>
      </c>
      <c r="E3" s="158" t="s">
        <v>132</v>
      </c>
      <c r="F3" s="37" t="s">
        <v>132</v>
      </c>
      <c r="G3" s="157" t="s">
        <v>132</v>
      </c>
      <c r="H3" s="32" t="s">
        <v>132</v>
      </c>
      <c r="I3" s="34" t="s">
        <v>132</v>
      </c>
      <c r="J3" s="30" t="s">
        <v>132</v>
      </c>
      <c r="K3" s="140" t="s">
        <v>132</v>
      </c>
      <c r="L3" s="32" t="s">
        <v>132</v>
      </c>
      <c r="M3" s="35" t="s">
        <v>132</v>
      </c>
      <c r="N3" s="157" t="s">
        <v>132</v>
      </c>
      <c r="O3" s="32" t="s">
        <v>132</v>
      </c>
      <c r="P3" s="35" t="s">
        <v>132</v>
      </c>
      <c r="Q3" s="158" t="s">
        <v>132</v>
      </c>
      <c r="R3" s="157" t="s">
        <v>132</v>
      </c>
      <c r="S3" s="32" t="s">
        <v>132</v>
      </c>
      <c r="T3" s="35" t="s">
        <v>132</v>
      </c>
      <c r="U3" s="158" t="s">
        <v>132</v>
      </c>
      <c r="V3" s="37" t="s">
        <v>132</v>
      </c>
      <c r="W3" s="157" t="s">
        <v>132</v>
      </c>
      <c r="X3" s="32" t="s">
        <v>132</v>
      </c>
      <c r="Y3" s="32" t="s">
        <v>132</v>
      </c>
      <c r="Z3" s="167" t="s">
        <v>132</v>
      </c>
    </row>
    <row r="4" spans="1:27" s="38" customFormat="1" x14ac:dyDescent="0.25">
      <c r="A4" s="29" t="s">
        <v>31</v>
      </c>
      <c r="B4" s="158" t="s">
        <v>133</v>
      </c>
      <c r="C4" s="35" t="s">
        <v>133</v>
      </c>
      <c r="D4" s="158" t="s">
        <v>133</v>
      </c>
      <c r="E4" s="158" t="s">
        <v>133</v>
      </c>
      <c r="F4" s="168" t="s">
        <v>133</v>
      </c>
      <c r="G4" s="157" t="s">
        <v>133</v>
      </c>
      <c r="H4" s="32" t="s">
        <v>133</v>
      </c>
      <c r="I4" s="34" t="s">
        <v>133</v>
      </c>
      <c r="J4" s="158" t="s">
        <v>133</v>
      </c>
      <c r="K4" s="34" t="s">
        <v>133</v>
      </c>
      <c r="L4" s="32" t="s">
        <v>133</v>
      </c>
      <c r="M4" s="167" t="s">
        <v>133</v>
      </c>
      <c r="N4" s="158" t="s">
        <v>133</v>
      </c>
      <c r="O4" s="32" t="s">
        <v>133</v>
      </c>
      <c r="P4" s="37" t="s">
        <v>133</v>
      </c>
      <c r="Q4" s="37" t="s">
        <v>133</v>
      </c>
      <c r="R4" s="29" t="s">
        <v>133</v>
      </c>
      <c r="S4" s="32" t="s">
        <v>133</v>
      </c>
      <c r="T4" s="167" t="s">
        <v>133</v>
      </c>
      <c r="U4" s="158" t="s">
        <v>133</v>
      </c>
      <c r="V4" s="168" t="s">
        <v>133</v>
      </c>
      <c r="W4" s="157" t="s">
        <v>133</v>
      </c>
      <c r="X4" s="32" t="s">
        <v>120</v>
      </c>
      <c r="Y4" s="32" t="s">
        <v>133</v>
      </c>
      <c r="Z4" s="169" t="s">
        <v>134</v>
      </c>
    </row>
    <row r="5" spans="1:27" x14ac:dyDescent="0.25">
      <c r="A5" s="20" t="s">
        <v>38</v>
      </c>
      <c r="B5" s="61">
        <v>2019</v>
      </c>
      <c r="C5" s="50">
        <v>2019</v>
      </c>
      <c r="D5" s="61">
        <v>2016</v>
      </c>
      <c r="E5" s="61">
        <v>2017</v>
      </c>
      <c r="F5" s="50">
        <v>2017</v>
      </c>
      <c r="G5" s="61">
        <v>2009</v>
      </c>
      <c r="H5" s="53">
        <v>2016</v>
      </c>
      <c r="I5" s="50" t="s">
        <v>135</v>
      </c>
      <c r="J5" s="159"/>
      <c r="K5" s="148" t="s">
        <v>136</v>
      </c>
      <c r="L5" s="53">
        <v>2017</v>
      </c>
      <c r="M5" s="50">
        <v>2015</v>
      </c>
      <c r="N5" s="61">
        <v>2017</v>
      </c>
      <c r="O5" s="53">
        <v>2015</v>
      </c>
      <c r="P5" s="50">
        <v>2014</v>
      </c>
      <c r="Q5" s="61">
        <v>2011</v>
      </c>
      <c r="R5" s="53">
        <v>2008</v>
      </c>
      <c r="S5" s="53">
        <v>2014</v>
      </c>
      <c r="T5" s="60">
        <v>2015</v>
      </c>
      <c r="U5" s="61">
        <v>2015</v>
      </c>
      <c r="V5" s="50">
        <v>2009</v>
      </c>
      <c r="W5" s="61">
        <v>2016</v>
      </c>
      <c r="X5" s="62">
        <v>2016</v>
      </c>
      <c r="Y5" s="53">
        <v>2017</v>
      </c>
      <c r="Z5" s="119">
        <v>2017</v>
      </c>
    </row>
    <row r="6" spans="1:27" x14ac:dyDescent="0.25">
      <c r="A6" s="20" t="s">
        <v>39</v>
      </c>
      <c r="B6" s="61"/>
      <c r="C6" s="50"/>
      <c r="D6" s="61"/>
      <c r="E6" s="61"/>
      <c r="F6" s="50"/>
      <c r="G6" s="61"/>
      <c r="H6" s="53"/>
      <c r="I6" s="50"/>
      <c r="J6" s="61"/>
      <c r="K6" s="145"/>
      <c r="L6" s="53"/>
      <c r="M6" s="50"/>
      <c r="N6" s="61"/>
      <c r="O6" s="53"/>
      <c r="P6" s="50"/>
      <c r="Q6" s="61"/>
      <c r="R6" s="53"/>
      <c r="S6" s="53"/>
      <c r="T6" s="50"/>
      <c r="U6" s="61"/>
      <c r="V6" s="50"/>
      <c r="W6" s="61"/>
      <c r="X6" s="62"/>
      <c r="Y6" s="53"/>
      <c r="Z6" s="119"/>
      <c r="AA6" s="3" t="s">
        <v>40</v>
      </c>
    </row>
    <row r="7" spans="1:27" x14ac:dyDescent="0.25">
      <c r="A7" s="20" t="s">
        <v>41</v>
      </c>
      <c r="B7" s="61"/>
      <c r="C7" s="50"/>
      <c r="D7" s="61"/>
      <c r="E7" s="61"/>
      <c r="F7" s="50"/>
      <c r="G7" s="61"/>
      <c r="H7" s="53"/>
      <c r="I7" s="50"/>
      <c r="J7" s="61"/>
      <c r="K7" s="145"/>
      <c r="L7" s="53"/>
      <c r="M7" s="50"/>
      <c r="N7" s="61"/>
      <c r="O7" s="53"/>
      <c r="P7" s="50"/>
      <c r="Q7" s="61"/>
      <c r="R7" s="53"/>
      <c r="S7" s="53"/>
      <c r="T7" s="60"/>
      <c r="U7" s="61"/>
      <c r="V7" s="50"/>
      <c r="W7" s="61"/>
      <c r="X7" s="62"/>
      <c r="Y7" s="53"/>
      <c r="Z7" s="119"/>
      <c r="AA7" s="3" t="s">
        <v>42</v>
      </c>
    </row>
    <row r="8" spans="1:27" x14ac:dyDescent="0.25">
      <c r="A8" s="20" t="s">
        <v>43</v>
      </c>
      <c r="B8" s="61"/>
      <c r="C8" s="50"/>
      <c r="D8" s="61"/>
      <c r="E8" s="61"/>
      <c r="F8" s="50"/>
      <c r="G8" s="61"/>
      <c r="H8" s="53"/>
      <c r="I8" s="50"/>
      <c r="J8" s="61"/>
      <c r="K8" s="145"/>
      <c r="L8" s="53"/>
      <c r="M8" s="50"/>
      <c r="N8" s="61"/>
      <c r="O8" s="53"/>
      <c r="P8" s="50"/>
      <c r="Q8" s="61"/>
      <c r="R8" s="53"/>
      <c r="S8" s="53"/>
      <c r="T8" s="60"/>
      <c r="U8" s="61"/>
      <c r="V8" s="50"/>
      <c r="W8" s="61"/>
      <c r="X8" s="62"/>
      <c r="Y8" s="53"/>
      <c r="Z8" s="119"/>
      <c r="AA8" s="3" t="s">
        <v>42</v>
      </c>
    </row>
    <row r="9" spans="1:27" x14ac:dyDescent="0.25">
      <c r="A9" s="20" t="s">
        <v>44</v>
      </c>
      <c r="B9" s="59"/>
      <c r="C9" s="60"/>
      <c r="D9" s="59"/>
      <c r="E9" s="59"/>
      <c r="F9" s="60"/>
      <c r="G9" s="59"/>
      <c r="H9" s="71"/>
      <c r="I9" s="60"/>
      <c r="J9" s="61"/>
      <c r="K9" s="150"/>
      <c r="L9" s="71"/>
      <c r="M9" s="60"/>
      <c r="N9" s="59"/>
      <c r="O9" s="71"/>
      <c r="P9" s="60"/>
      <c r="Q9" s="59"/>
      <c r="R9" s="71"/>
      <c r="S9" s="71"/>
      <c r="T9" s="60"/>
      <c r="U9" s="59"/>
      <c r="V9" s="60"/>
      <c r="W9" s="59"/>
      <c r="X9" s="70"/>
      <c r="Y9" s="71"/>
      <c r="Z9" s="123"/>
      <c r="AA9" s="3" t="s">
        <v>45</v>
      </c>
    </row>
    <row r="10" spans="1:27" x14ac:dyDescent="0.25">
      <c r="A10" s="20" t="s">
        <v>46</v>
      </c>
      <c r="B10" s="61">
        <v>2019</v>
      </c>
      <c r="C10" s="50">
        <v>2019</v>
      </c>
      <c r="D10" s="59">
        <v>2016</v>
      </c>
      <c r="E10" s="61">
        <v>2017</v>
      </c>
      <c r="F10" s="50">
        <v>2017</v>
      </c>
      <c r="G10" s="59">
        <v>2015</v>
      </c>
      <c r="H10" s="53">
        <v>2019</v>
      </c>
      <c r="I10" s="50">
        <v>2019</v>
      </c>
      <c r="J10" s="61"/>
      <c r="K10" s="145">
        <v>2019</v>
      </c>
      <c r="L10" s="71">
        <v>2016</v>
      </c>
      <c r="M10" s="50">
        <v>2019</v>
      </c>
      <c r="N10" s="61">
        <v>2019</v>
      </c>
      <c r="O10" s="53">
        <v>2019</v>
      </c>
      <c r="P10" s="50">
        <v>2020</v>
      </c>
      <c r="Q10" s="61">
        <v>2018</v>
      </c>
      <c r="R10" s="53">
        <v>2018</v>
      </c>
      <c r="S10" s="53">
        <v>2018</v>
      </c>
      <c r="T10" s="60">
        <v>2018</v>
      </c>
      <c r="U10" s="61">
        <v>2018</v>
      </c>
      <c r="V10" s="50">
        <v>2018</v>
      </c>
      <c r="W10" s="59">
        <v>2019</v>
      </c>
      <c r="X10" s="70">
        <v>2016</v>
      </c>
      <c r="Y10" s="71">
        <v>2017</v>
      </c>
      <c r="Z10" s="123">
        <v>2017</v>
      </c>
      <c r="AA10" s="3" t="s">
        <v>47</v>
      </c>
    </row>
    <row r="11" spans="1:27" x14ac:dyDescent="0.25">
      <c r="A11" s="20" t="s">
        <v>50</v>
      </c>
      <c r="B11" s="61">
        <v>2019</v>
      </c>
      <c r="C11" s="50">
        <v>2019</v>
      </c>
      <c r="D11" s="59">
        <v>2016</v>
      </c>
      <c r="E11" s="61">
        <v>2017</v>
      </c>
      <c r="F11" s="50">
        <v>2020</v>
      </c>
      <c r="G11" s="61">
        <v>2019</v>
      </c>
      <c r="H11" s="53">
        <v>2019</v>
      </c>
      <c r="I11" s="50">
        <v>2020</v>
      </c>
      <c r="J11" s="61"/>
      <c r="K11" s="150">
        <v>2018</v>
      </c>
      <c r="L11" s="53">
        <v>2019</v>
      </c>
      <c r="M11" s="50">
        <v>2018</v>
      </c>
      <c r="N11" s="59">
        <v>2017</v>
      </c>
      <c r="O11" s="53">
        <v>2018</v>
      </c>
      <c r="P11" s="50">
        <v>2020</v>
      </c>
      <c r="Q11" s="59">
        <v>2017</v>
      </c>
      <c r="R11" s="53">
        <v>2019</v>
      </c>
      <c r="S11" s="71">
        <v>2012</v>
      </c>
      <c r="T11" s="60">
        <v>2018</v>
      </c>
      <c r="U11" s="61">
        <v>2020</v>
      </c>
      <c r="V11" s="50">
        <v>2020</v>
      </c>
      <c r="W11" s="59">
        <v>2016</v>
      </c>
      <c r="X11" s="70">
        <v>2016</v>
      </c>
      <c r="Y11" s="71">
        <v>2017</v>
      </c>
      <c r="Z11" s="123">
        <v>2017</v>
      </c>
      <c r="AA11" s="3" t="s">
        <v>51</v>
      </c>
    </row>
    <row r="12" spans="1:27" x14ac:dyDescent="0.25">
      <c r="A12" s="20" t="s">
        <v>52</v>
      </c>
      <c r="B12" s="61">
        <v>2019</v>
      </c>
      <c r="C12" s="50">
        <v>2019</v>
      </c>
      <c r="D12" s="59">
        <v>2016</v>
      </c>
      <c r="E12" s="61">
        <v>2020</v>
      </c>
      <c r="F12" s="50">
        <v>2020</v>
      </c>
      <c r="G12" s="61">
        <v>2019</v>
      </c>
      <c r="H12" s="53">
        <v>2019</v>
      </c>
      <c r="I12" s="50">
        <v>2020</v>
      </c>
      <c r="J12" s="61"/>
      <c r="K12" s="150">
        <v>2018</v>
      </c>
      <c r="L12" s="71">
        <v>2018</v>
      </c>
      <c r="M12" s="50">
        <v>2019</v>
      </c>
      <c r="N12" s="59">
        <v>2017</v>
      </c>
      <c r="O12" s="53">
        <v>2019</v>
      </c>
      <c r="P12" s="50">
        <v>2020</v>
      </c>
      <c r="Q12" s="59">
        <v>2017</v>
      </c>
      <c r="R12" s="71">
        <v>2017</v>
      </c>
      <c r="S12" s="71">
        <v>2012</v>
      </c>
      <c r="T12" s="60">
        <v>2018</v>
      </c>
      <c r="U12" s="61">
        <v>2020</v>
      </c>
      <c r="V12" s="50">
        <v>2018</v>
      </c>
      <c r="W12" s="59">
        <v>2016</v>
      </c>
      <c r="X12" s="70">
        <v>2016</v>
      </c>
      <c r="Y12" s="71">
        <v>2017</v>
      </c>
      <c r="Z12" s="123">
        <v>2019</v>
      </c>
      <c r="AA12" s="3" t="s">
        <v>51</v>
      </c>
    </row>
    <row r="13" spans="1:27" x14ac:dyDescent="0.25">
      <c r="A13" s="20" t="s">
        <v>54</v>
      </c>
      <c r="B13" s="59">
        <v>2019</v>
      </c>
      <c r="C13" s="60">
        <v>2019</v>
      </c>
      <c r="D13" s="59"/>
      <c r="E13" s="59"/>
      <c r="F13" s="60"/>
      <c r="G13" s="59"/>
      <c r="H13" s="71"/>
      <c r="I13" s="60"/>
      <c r="J13" s="61"/>
      <c r="K13" s="150"/>
      <c r="L13" s="71"/>
      <c r="M13" s="60"/>
      <c r="N13" s="59"/>
      <c r="O13" s="71"/>
      <c r="P13" s="60"/>
      <c r="Q13" s="59"/>
      <c r="R13" s="71"/>
      <c r="S13" s="71"/>
      <c r="T13" s="60"/>
      <c r="U13" s="59"/>
      <c r="V13" s="60"/>
      <c r="W13" s="59"/>
      <c r="X13" s="70"/>
      <c r="Y13" s="71"/>
      <c r="Z13" s="123"/>
      <c r="AA13" s="3" t="s">
        <v>55</v>
      </c>
    </row>
    <row r="14" spans="1:27" x14ac:dyDescent="0.25">
      <c r="A14" s="20" t="s">
        <v>56</v>
      </c>
      <c r="B14" s="59">
        <v>2019</v>
      </c>
      <c r="C14" s="60">
        <v>2019</v>
      </c>
      <c r="D14" s="84"/>
      <c r="E14" s="59"/>
      <c r="F14" s="60"/>
      <c r="G14" s="80"/>
      <c r="H14" s="71"/>
      <c r="I14" s="60"/>
      <c r="J14" s="92"/>
      <c r="K14" s="150"/>
      <c r="L14" s="71"/>
      <c r="M14" s="60"/>
      <c r="N14" s="59"/>
      <c r="O14" s="71"/>
      <c r="P14" s="60"/>
      <c r="Q14" s="84"/>
      <c r="R14" s="71"/>
      <c r="S14" s="71"/>
      <c r="T14" s="60"/>
      <c r="U14" s="59"/>
      <c r="V14" s="60"/>
      <c r="W14" s="59"/>
      <c r="X14" s="70"/>
      <c r="Y14" s="71"/>
      <c r="Z14" s="123" t="s">
        <v>137</v>
      </c>
      <c r="AA14" s="3" t="s">
        <v>55</v>
      </c>
    </row>
    <row r="15" spans="1:27" x14ac:dyDescent="0.25">
      <c r="A15" s="20" t="s">
        <v>57</v>
      </c>
      <c r="B15" s="61" t="s">
        <v>105</v>
      </c>
      <c r="C15" s="74"/>
      <c r="D15" s="84"/>
      <c r="E15" s="61" t="s">
        <v>58</v>
      </c>
      <c r="F15" s="50" t="s">
        <v>138</v>
      </c>
      <c r="G15" s="59" t="s">
        <v>106</v>
      </c>
      <c r="H15" s="151" t="s">
        <v>139</v>
      </c>
      <c r="I15" s="161" t="s">
        <v>122</v>
      </c>
      <c r="J15" s="170"/>
      <c r="K15" s="150" t="s">
        <v>140</v>
      </c>
      <c r="L15" s="71" t="s">
        <v>141</v>
      </c>
      <c r="M15" s="50" t="s">
        <v>142</v>
      </c>
      <c r="N15" s="61" t="s">
        <v>125</v>
      </c>
      <c r="O15" s="53" t="s">
        <v>143</v>
      </c>
      <c r="P15" s="50" t="s">
        <v>127</v>
      </c>
      <c r="Q15" s="84"/>
      <c r="R15" s="71" t="s">
        <v>64</v>
      </c>
      <c r="S15" s="65"/>
      <c r="T15" s="83"/>
      <c r="U15" s="61" t="s">
        <v>112</v>
      </c>
      <c r="V15" s="50" t="s">
        <v>65</v>
      </c>
      <c r="W15" s="59" t="s">
        <v>144</v>
      </c>
      <c r="X15" s="62" t="s">
        <v>122</v>
      </c>
      <c r="Y15" s="65"/>
      <c r="Z15" s="171"/>
      <c r="AA15" s="3" t="s">
        <v>67</v>
      </c>
    </row>
    <row r="16" spans="1:27" x14ac:dyDescent="0.25">
      <c r="A16" s="20" t="s">
        <v>69</v>
      </c>
      <c r="B16" s="172"/>
      <c r="C16" s="75"/>
      <c r="D16" s="84"/>
      <c r="E16" s="61"/>
      <c r="F16" s="50"/>
      <c r="G16" s="80"/>
      <c r="H16" s="53"/>
      <c r="I16" s="75"/>
      <c r="J16" s="92"/>
      <c r="K16" s="150"/>
      <c r="L16" s="53"/>
      <c r="M16" s="50"/>
      <c r="N16" s="59"/>
      <c r="O16" s="53"/>
      <c r="P16" s="60"/>
      <c r="Q16" s="84"/>
      <c r="R16" s="71"/>
      <c r="S16" s="71"/>
      <c r="T16" s="60"/>
      <c r="U16" s="61"/>
      <c r="V16" s="50"/>
      <c r="W16" s="59"/>
      <c r="X16" s="62"/>
      <c r="Y16" s="53"/>
      <c r="Z16" s="123"/>
      <c r="AA16" s="3" t="s">
        <v>70</v>
      </c>
    </row>
    <row r="17" spans="1:27" x14ac:dyDescent="0.25">
      <c r="A17" s="20" t="s">
        <v>145</v>
      </c>
      <c r="B17" s="61"/>
      <c r="C17" s="50"/>
      <c r="D17" s="61"/>
      <c r="E17" s="61"/>
      <c r="F17" s="50"/>
      <c r="G17" s="61"/>
      <c r="H17" s="65"/>
      <c r="I17" s="50"/>
      <c r="J17" s="61"/>
      <c r="K17" s="145"/>
      <c r="L17" s="53"/>
      <c r="M17" s="50"/>
      <c r="N17" s="61"/>
      <c r="O17" s="53"/>
      <c r="P17" s="50"/>
      <c r="Q17" s="84"/>
      <c r="R17" s="53"/>
      <c r="S17" s="53"/>
      <c r="T17" s="60"/>
      <c r="U17" s="61"/>
      <c r="V17" s="50"/>
      <c r="W17" s="61"/>
      <c r="X17" s="62"/>
      <c r="Y17" s="53"/>
      <c r="Z17" s="119"/>
      <c r="AA17" s="3" t="s">
        <v>42</v>
      </c>
    </row>
    <row r="18" spans="1:27" x14ac:dyDescent="0.25">
      <c r="A18" s="20" t="s">
        <v>71</v>
      </c>
      <c r="B18" s="61"/>
      <c r="C18" s="50"/>
      <c r="D18" s="61"/>
      <c r="E18" s="61"/>
      <c r="F18" s="50"/>
      <c r="G18" s="61"/>
      <c r="H18" s="53"/>
      <c r="I18" s="50"/>
      <c r="J18" s="61"/>
      <c r="K18" s="145"/>
      <c r="L18" s="53"/>
      <c r="M18" s="50"/>
      <c r="N18" s="61"/>
      <c r="O18" s="53"/>
      <c r="P18" s="50"/>
      <c r="Q18" s="84"/>
      <c r="R18" s="53"/>
      <c r="S18" s="53"/>
      <c r="T18" s="60"/>
      <c r="U18" s="61"/>
      <c r="V18" s="50"/>
      <c r="W18" s="61"/>
      <c r="X18" s="62"/>
      <c r="Y18" s="53"/>
      <c r="Z18" s="119"/>
      <c r="AA18" s="3" t="s">
        <v>42</v>
      </c>
    </row>
    <row r="19" spans="1:27" x14ac:dyDescent="0.25">
      <c r="A19" s="20" t="s">
        <v>72</v>
      </c>
      <c r="B19" s="61"/>
      <c r="C19" s="50"/>
      <c r="D19" s="61"/>
      <c r="E19" s="61"/>
      <c r="F19" s="50"/>
      <c r="G19" s="61"/>
      <c r="H19" s="53"/>
      <c r="I19" s="50"/>
      <c r="J19" s="61"/>
      <c r="K19" s="145"/>
      <c r="L19" s="53"/>
      <c r="M19" s="50"/>
      <c r="N19" s="61"/>
      <c r="O19" s="53"/>
      <c r="P19" s="50"/>
      <c r="Q19" s="61"/>
      <c r="R19" s="53"/>
      <c r="S19" s="53"/>
      <c r="T19" s="60"/>
      <c r="U19" s="61"/>
      <c r="V19" s="50"/>
      <c r="W19" s="61"/>
      <c r="X19" s="62"/>
      <c r="Y19" s="53"/>
      <c r="Z19" s="119"/>
      <c r="AA19" s="3" t="s">
        <v>42</v>
      </c>
    </row>
    <row r="20" spans="1:27" x14ac:dyDescent="0.25">
      <c r="A20" s="20" t="s">
        <v>73</v>
      </c>
      <c r="B20" s="61"/>
      <c r="C20" s="50"/>
      <c r="D20" s="61"/>
      <c r="E20" s="61"/>
      <c r="F20" s="50"/>
      <c r="G20" s="61"/>
      <c r="H20" s="53"/>
      <c r="I20" s="50"/>
      <c r="J20" s="61"/>
      <c r="K20" s="145"/>
      <c r="L20" s="53"/>
      <c r="M20" s="50"/>
      <c r="N20" s="61"/>
      <c r="O20" s="53"/>
      <c r="P20" s="50"/>
      <c r="Q20" s="61"/>
      <c r="R20" s="53"/>
      <c r="S20" s="53"/>
      <c r="T20" s="60"/>
      <c r="U20" s="61"/>
      <c r="V20" s="50"/>
      <c r="W20" s="61"/>
      <c r="X20" s="62"/>
      <c r="Y20" s="53"/>
      <c r="Z20" s="119"/>
      <c r="AA20" s="3" t="s">
        <v>42</v>
      </c>
    </row>
    <row r="21" spans="1:27" x14ac:dyDescent="0.25">
      <c r="A21" s="20" t="s">
        <v>74</v>
      </c>
      <c r="B21" s="61"/>
      <c r="C21" s="50"/>
      <c r="D21" s="61"/>
      <c r="E21" s="61"/>
      <c r="F21" s="50"/>
      <c r="G21" s="61"/>
      <c r="H21" s="53"/>
      <c r="I21" s="50"/>
      <c r="J21" s="61"/>
      <c r="K21" s="145"/>
      <c r="L21" s="53"/>
      <c r="M21" s="50"/>
      <c r="N21" s="61"/>
      <c r="O21" s="53"/>
      <c r="P21" s="50"/>
      <c r="Q21" s="61"/>
      <c r="R21" s="53"/>
      <c r="S21" s="53"/>
      <c r="T21" s="60"/>
      <c r="U21" s="61"/>
      <c r="V21" s="50"/>
      <c r="W21" s="61"/>
      <c r="X21" s="62"/>
      <c r="Y21" s="53"/>
      <c r="Z21" s="119"/>
      <c r="AA21" s="3" t="s">
        <v>42</v>
      </c>
    </row>
    <row r="22" spans="1:27" x14ac:dyDescent="0.25">
      <c r="A22" s="20" t="s">
        <v>75</v>
      </c>
      <c r="B22" s="61">
        <v>2019</v>
      </c>
      <c r="C22" s="50">
        <v>2019</v>
      </c>
      <c r="D22" s="61">
        <v>2016</v>
      </c>
      <c r="E22" s="61">
        <v>2017</v>
      </c>
      <c r="F22" s="50">
        <v>2017</v>
      </c>
      <c r="G22" s="59">
        <v>2016</v>
      </c>
      <c r="H22" s="53">
        <v>2017</v>
      </c>
      <c r="I22" s="50">
        <v>2017</v>
      </c>
      <c r="J22" s="61"/>
      <c r="K22" s="145">
        <v>2017</v>
      </c>
      <c r="L22" s="53">
        <v>2016</v>
      </c>
      <c r="M22" s="50">
        <v>2015</v>
      </c>
      <c r="N22" s="61">
        <v>2017</v>
      </c>
      <c r="O22" s="53">
        <v>2015</v>
      </c>
      <c r="P22" s="50">
        <v>2018</v>
      </c>
      <c r="Q22" s="61">
        <v>2017</v>
      </c>
      <c r="R22" s="53">
        <v>2015</v>
      </c>
      <c r="S22" s="53">
        <v>2014</v>
      </c>
      <c r="T22" s="60">
        <v>2015</v>
      </c>
      <c r="U22" s="61">
        <v>2017</v>
      </c>
      <c r="V22" s="50">
        <v>2015</v>
      </c>
      <c r="W22" s="59">
        <v>2016</v>
      </c>
      <c r="X22" s="70">
        <v>2016</v>
      </c>
      <c r="Y22" s="53">
        <v>2018</v>
      </c>
      <c r="Z22" s="119">
        <v>2017</v>
      </c>
      <c r="AA22" s="3" t="s">
        <v>76</v>
      </c>
    </row>
    <row r="23" spans="1:27" x14ac:dyDescent="0.25">
      <c r="A23" s="20" t="s">
        <v>77</v>
      </c>
      <c r="B23" s="61"/>
      <c r="C23" s="50"/>
      <c r="D23" s="61"/>
      <c r="E23" s="61"/>
      <c r="F23" s="50"/>
      <c r="G23" s="61"/>
      <c r="H23" s="53"/>
      <c r="I23" s="75">
        <v>2018</v>
      </c>
      <c r="J23" s="92"/>
      <c r="K23" s="145"/>
      <c r="L23" s="65">
        <v>2020</v>
      </c>
      <c r="M23" s="75">
        <v>2018</v>
      </c>
      <c r="N23" s="61"/>
      <c r="O23" s="53"/>
      <c r="P23" s="50"/>
      <c r="Q23" s="61"/>
      <c r="R23" s="53"/>
      <c r="S23" s="65">
        <v>2018</v>
      </c>
      <c r="T23" s="91"/>
      <c r="U23" s="61"/>
      <c r="V23" s="50"/>
      <c r="W23" s="61"/>
      <c r="X23" s="62"/>
      <c r="Y23" s="65">
        <v>2018</v>
      </c>
      <c r="Z23" s="119"/>
      <c r="AA23" s="3" t="s">
        <v>76</v>
      </c>
    </row>
    <row r="24" spans="1:27" x14ac:dyDescent="0.25">
      <c r="A24" s="20" t="s">
        <v>78</v>
      </c>
      <c r="B24" s="61"/>
      <c r="C24" s="50"/>
      <c r="D24" s="61"/>
      <c r="E24" s="61"/>
      <c r="F24" s="50"/>
      <c r="G24" s="61"/>
      <c r="H24" s="53"/>
      <c r="I24" s="50"/>
      <c r="J24" s="61"/>
      <c r="K24" s="145"/>
      <c r="L24" s="53"/>
      <c r="M24" s="50"/>
      <c r="N24" s="61"/>
      <c r="O24" s="53"/>
      <c r="P24" s="50"/>
      <c r="Q24" s="61"/>
      <c r="R24" s="53"/>
      <c r="S24" s="53"/>
      <c r="T24" s="60"/>
      <c r="U24" s="61"/>
      <c r="V24" s="50"/>
      <c r="W24" s="61"/>
      <c r="X24" s="62"/>
      <c r="Y24" s="53"/>
      <c r="Z24" s="119"/>
      <c r="AA24" s="3" t="s">
        <v>42</v>
      </c>
    </row>
    <row r="25" spans="1:27" x14ac:dyDescent="0.25">
      <c r="A25" s="20" t="s">
        <v>146</v>
      </c>
      <c r="B25" s="84"/>
      <c r="C25" s="83"/>
      <c r="D25" s="84"/>
      <c r="E25" s="84"/>
      <c r="F25" s="83"/>
      <c r="G25" s="84"/>
      <c r="H25" s="82"/>
      <c r="I25" s="83"/>
      <c r="J25" s="84"/>
      <c r="K25" s="100"/>
      <c r="L25" s="82"/>
      <c r="M25" s="83"/>
      <c r="N25" s="84"/>
      <c r="O25" s="82"/>
      <c r="P25" s="83"/>
      <c r="Q25" s="84"/>
      <c r="R25" s="82"/>
      <c r="S25" s="82"/>
      <c r="T25" s="83"/>
      <c r="U25" s="84"/>
      <c r="V25" s="83"/>
      <c r="W25" s="84"/>
      <c r="X25" s="85"/>
      <c r="Y25" s="82"/>
      <c r="Z25" s="171"/>
    </row>
    <row r="26" spans="1:27" x14ac:dyDescent="0.25">
      <c r="A26" s="20" t="s">
        <v>79</v>
      </c>
      <c r="B26" s="84"/>
      <c r="C26" s="83"/>
      <c r="D26" s="84"/>
      <c r="E26" s="84"/>
      <c r="F26" s="83"/>
      <c r="G26" s="84"/>
      <c r="H26" s="82"/>
      <c r="I26" s="83"/>
      <c r="J26" s="84"/>
      <c r="K26" s="100"/>
      <c r="L26" s="82"/>
      <c r="M26" s="83"/>
      <c r="N26" s="84"/>
      <c r="O26" s="82"/>
      <c r="P26" s="83"/>
      <c r="Q26" s="84"/>
      <c r="R26" s="82"/>
      <c r="S26" s="82"/>
      <c r="T26" s="60">
        <v>1</v>
      </c>
      <c r="U26" s="84"/>
      <c r="V26" s="83"/>
      <c r="W26" s="84"/>
      <c r="X26" s="70">
        <v>1</v>
      </c>
      <c r="Y26" s="82"/>
      <c r="Z26" s="171"/>
    </row>
    <row r="27" spans="1:27" x14ac:dyDescent="0.25">
      <c r="A27" s="20" t="s">
        <v>80</v>
      </c>
      <c r="B27" s="84"/>
      <c r="C27" s="83"/>
      <c r="D27" s="84"/>
      <c r="E27" s="84"/>
      <c r="F27" s="83"/>
      <c r="G27" s="84"/>
      <c r="H27" s="82"/>
      <c r="I27" s="83"/>
      <c r="J27" s="84"/>
      <c r="K27" s="100"/>
      <c r="L27" s="82"/>
      <c r="M27" s="83"/>
      <c r="N27" s="84"/>
      <c r="O27" s="82"/>
      <c r="P27" s="83"/>
      <c r="Q27" s="84"/>
      <c r="R27" s="82"/>
      <c r="S27" s="82"/>
      <c r="T27" s="60">
        <v>1</v>
      </c>
      <c r="U27" s="84"/>
      <c r="V27" s="83"/>
      <c r="W27" s="84"/>
      <c r="X27" s="70">
        <v>1</v>
      </c>
      <c r="Y27" s="82"/>
      <c r="Z27" s="171"/>
      <c r="AA27" s="3" t="s">
        <v>42</v>
      </c>
    </row>
    <row r="28" spans="1:27" x14ac:dyDescent="0.25">
      <c r="A28" s="20" t="s">
        <v>129</v>
      </c>
      <c r="B28" s="84"/>
      <c r="C28" s="83"/>
      <c r="D28" s="84"/>
      <c r="E28" s="84"/>
      <c r="F28" s="83"/>
      <c r="G28" s="84"/>
      <c r="H28" s="82"/>
      <c r="I28" s="83"/>
      <c r="J28" s="84"/>
      <c r="K28" s="100"/>
      <c r="L28" s="82"/>
      <c r="M28" s="83"/>
      <c r="N28" s="84"/>
      <c r="O28" s="82"/>
      <c r="P28" s="83"/>
      <c r="Q28" s="84"/>
      <c r="R28" s="82"/>
      <c r="S28" s="82"/>
      <c r="T28" s="60">
        <v>1</v>
      </c>
      <c r="U28" s="84"/>
      <c r="V28" s="83"/>
      <c r="W28" s="84"/>
      <c r="X28" s="70">
        <v>1</v>
      </c>
      <c r="Y28" s="82"/>
      <c r="Z28" s="171"/>
    </row>
    <row r="29" spans="1:27" x14ac:dyDescent="0.25">
      <c r="A29" s="20" t="s">
        <v>82</v>
      </c>
      <c r="B29" s="84">
        <v>0</v>
      </c>
      <c r="C29" s="83">
        <v>0</v>
      </c>
      <c r="D29" s="84">
        <v>3</v>
      </c>
      <c r="E29" s="84">
        <v>4</v>
      </c>
      <c r="F29" s="83">
        <v>4</v>
      </c>
      <c r="G29" s="84">
        <v>4</v>
      </c>
      <c r="H29" s="82">
        <v>4</v>
      </c>
      <c r="I29" s="83">
        <v>4</v>
      </c>
      <c r="J29" s="84"/>
      <c r="K29" s="100">
        <v>4</v>
      </c>
      <c r="L29" s="82">
        <v>4</v>
      </c>
      <c r="M29" s="83">
        <v>4</v>
      </c>
      <c r="N29" s="84">
        <v>4</v>
      </c>
      <c r="O29" s="82">
        <v>4</v>
      </c>
      <c r="P29" s="83">
        <v>4</v>
      </c>
      <c r="Q29" s="84">
        <v>0</v>
      </c>
      <c r="R29" s="82">
        <v>4</v>
      </c>
      <c r="S29" s="82">
        <v>4</v>
      </c>
      <c r="T29" s="83">
        <v>4</v>
      </c>
      <c r="U29" s="84">
        <v>4</v>
      </c>
      <c r="V29" s="83">
        <v>4</v>
      </c>
      <c r="W29" s="84">
        <v>4</v>
      </c>
      <c r="X29" s="85">
        <v>4</v>
      </c>
      <c r="Y29" s="82">
        <v>4</v>
      </c>
      <c r="Z29" s="171">
        <v>0</v>
      </c>
    </row>
    <row r="30" spans="1:27" x14ac:dyDescent="0.25">
      <c r="A30" s="20" t="s">
        <v>83</v>
      </c>
      <c r="B30" s="84"/>
      <c r="C30" s="83"/>
      <c r="D30" s="84"/>
      <c r="E30" s="84"/>
      <c r="F30" s="83"/>
      <c r="G30" s="93"/>
      <c r="H30" s="82"/>
      <c r="I30" s="83"/>
      <c r="J30" s="84"/>
      <c r="K30" s="100"/>
      <c r="L30" s="82"/>
      <c r="M30" s="83"/>
      <c r="N30" s="84"/>
      <c r="O30" s="82"/>
      <c r="P30" s="83"/>
      <c r="Q30" s="84"/>
      <c r="R30" s="82"/>
      <c r="S30" s="82"/>
      <c r="T30" s="83"/>
      <c r="U30" s="84"/>
      <c r="V30" s="83"/>
      <c r="W30" s="84"/>
      <c r="X30" s="85"/>
      <c r="Y30" s="82"/>
      <c r="Z30" s="171"/>
    </row>
    <row r="31" spans="1:27" x14ac:dyDescent="0.25">
      <c r="A31" s="20" t="s">
        <v>84</v>
      </c>
      <c r="B31" s="314">
        <v>0</v>
      </c>
      <c r="C31" s="314"/>
      <c r="D31" s="2">
        <v>0</v>
      </c>
      <c r="E31" s="314">
        <v>0</v>
      </c>
      <c r="F31" s="314"/>
      <c r="G31" s="314">
        <v>0</v>
      </c>
      <c r="H31" s="314"/>
      <c r="I31" s="314"/>
      <c r="J31" s="93"/>
      <c r="K31" s="314">
        <v>0</v>
      </c>
      <c r="L31" s="314"/>
      <c r="M31" s="314"/>
      <c r="N31" s="314">
        <v>0</v>
      </c>
      <c r="O31" s="314"/>
      <c r="P31" s="314"/>
      <c r="Q31" s="314">
        <v>0</v>
      </c>
      <c r="R31" s="314"/>
      <c r="S31" s="314"/>
      <c r="T31" s="314"/>
      <c r="U31" s="314">
        <v>0</v>
      </c>
      <c r="V31" s="314"/>
      <c r="W31" s="315">
        <v>0</v>
      </c>
      <c r="X31" s="315"/>
      <c r="Y31" s="1"/>
      <c r="Z31" s="171"/>
    </row>
    <row r="32" spans="1:27" x14ac:dyDescent="0.25">
      <c r="A32" s="20" t="s">
        <v>85</v>
      </c>
      <c r="B32" s="314">
        <f>B29+C29-B30-C30-B31</f>
        <v>0</v>
      </c>
      <c r="C32" s="314"/>
      <c r="D32" s="2">
        <f>D29-D30-D31</f>
        <v>3</v>
      </c>
      <c r="E32" s="314">
        <f>E29+F29-E30-F30-E31</f>
        <v>8</v>
      </c>
      <c r="F32" s="314"/>
      <c r="G32" s="314">
        <f>G29+H29+I29-G30-H30-I30-G31</f>
        <v>12</v>
      </c>
      <c r="H32" s="314"/>
      <c r="I32" s="314"/>
      <c r="J32" s="93"/>
      <c r="K32" s="314">
        <f>K29+L29+M29-K30-L30-M30-K31</f>
        <v>12</v>
      </c>
      <c r="L32" s="314"/>
      <c r="M32" s="314"/>
      <c r="N32" s="314">
        <f>N29+O29+P29-N30-O30-P30-N31</f>
        <v>12</v>
      </c>
      <c r="O32" s="314"/>
      <c r="P32" s="314"/>
      <c r="Q32" s="314">
        <f>Q29+R29+S29+T29-Q30-R30-S30-T30-Q31</f>
        <v>12</v>
      </c>
      <c r="R32" s="314"/>
      <c r="S32" s="314"/>
      <c r="T32" s="314"/>
      <c r="U32" s="314">
        <f>U29+V29-U30-V30-U31</f>
        <v>8</v>
      </c>
      <c r="V32" s="314"/>
      <c r="W32" s="315">
        <f>W29+X29+Y29+Z29-W30-X30-W31-Y31</f>
        <v>12</v>
      </c>
      <c r="X32" s="315"/>
      <c r="Y32" s="1"/>
      <c r="Z32" s="171"/>
    </row>
    <row r="33" spans="1:26" x14ac:dyDescent="0.25">
      <c r="A33" s="20" t="s">
        <v>86</v>
      </c>
      <c r="B33" s="314"/>
      <c r="C33" s="314"/>
      <c r="D33" s="2"/>
      <c r="E33" s="314"/>
      <c r="F33" s="314"/>
      <c r="G33" s="314"/>
      <c r="H33" s="314"/>
      <c r="I33" s="314"/>
      <c r="J33" s="93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5"/>
      <c r="X33" s="315"/>
      <c r="Y33" s="1"/>
      <c r="Z33" s="171"/>
    </row>
    <row r="34" spans="1:26" x14ac:dyDescent="0.25">
      <c r="A34" s="20" t="s">
        <v>130</v>
      </c>
      <c r="B34" s="314" t="s">
        <v>114</v>
      </c>
      <c r="C34" s="314"/>
      <c r="D34" s="2" t="s">
        <v>114</v>
      </c>
      <c r="E34" s="314" t="s">
        <v>114</v>
      </c>
      <c r="F34" s="314"/>
      <c r="G34" s="314"/>
      <c r="H34" s="314"/>
      <c r="I34" s="314"/>
      <c r="J34" s="93"/>
      <c r="K34" s="314"/>
      <c r="L34" s="314"/>
      <c r="M34" s="314"/>
      <c r="N34" s="314" t="s">
        <v>147</v>
      </c>
      <c r="O34" s="314"/>
      <c r="P34" s="314"/>
      <c r="Q34" s="316"/>
      <c r="R34" s="316"/>
      <c r="S34" s="316"/>
      <c r="T34" s="316"/>
      <c r="U34" s="314"/>
      <c r="V34" s="314"/>
      <c r="W34" s="315" t="s">
        <v>114</v>
      </c>
      <c r="X34" s="315"/>
      <c r="Y34" s="1"/>
      <c r="Z34" s="171"/>
    </row>
    <row r="35" spans="1:26" s="118" customFormat="1" x14ac:dyDescent="0.25">
      <c r="A35" s="113" t="s">
        <v>89</v>
      </c>
      <c r="B35" s="117" t="s">
        <v>90</v>
      </c>
      <c r="C35" s="116" t="s">
        <v>90</v>
      </c>
      <c r="D35" s="117" t="s">
        <v>88</v>
      </c>
      <c r="E35" s="117" t="s">
        <v>90</v>
      </c>
      <c r="F35" s="116" t="s">
        <v>90</v>
      </c>
      <c r="G35" s="117" t="s">
        <v>88</v>
      </c>
      <c r="H35" s="97" t="s">
        <v>88</v>
      </c>
      <c r="I35" s="116" t="s">
        <v>88</v>
      </c>
      <c r="J35" s="117"/>
      <c r="K35" s="98" t="s">
        <v>88</v>
      </c>
      <c r="L35" s="97" t="s">
        <v>88</v>
      </c>
      <c r="M35" s="116" t="s">
        <v>88</v>
      </c>
      <c r="N35" s="117" t="s">
        <v>88</v>
      </c>
      <c r="O35" s="97" t="s">
        <v>88</v>
      </c>
      <c r="P35" s="116" t="s">
        <v>88</v>
      </c>
      <c r="Q35" s="117" t="s">
        <v>88</v>
      </c>
      <c r="R35" s="97" t="s">
        <v>88</v>
      </c>
      <c r="S35" s="97" t="s">
        <v>88</v>
      </c>
      <c r="T35" s="116" t="s">
        <v>88</v>
      </c>
      <c r="U35" s="117" t="s">
        <v>90</v>
      </c>
      <c r="V35" s="116" t="s">
        <v>90</v>
      </c>
      <c r="W35" s="97" t="s">
        <v>88</v>
      </c>
      <c r="X35" s="99" t="s">
        <v>88</v>
      </c>
      <c r="Y35" s="97" t="s">
        <v>88</v>
      </c>
      <c r="Z35" s="173" t="s">
        <v>88</v>
      </c>
    </row>
    <row r="36" spans="1:26" s="64" customFormat="1" x14ac:dyDescent="0.25">
      <c r="A36" s="62" t="s">
        <v>91</v>
      </c>
      <c r="B36" s="52"/>
      <c r="C36" s="119"/>
      <c r="D36" s="52"/>
      <c r="E36" s="52"/>
      <c r="F36" s="119"/>
      <c r="G36" s="52"/>
      <c r="I36" s="119"/>
      <c r="J36" s="61"/>
      <c r="M36" s="119"/>
      <c r="N36" s="52"/>
      <c r="P36" s="119"/>
      <c r="Q36" s="52"/>
      <c r="T36" s="119"/>
      <c r="U36" s="52"/>
      <c r="V36" s="119"/>
      <c r="W36" s="52"/>
      <c r="Y36" s="53"/>
      <c r="Z36" s="174"/>
    </row>
    <row r="37" spans="1:26" s="121" customFormat="1" x14ac:dyDescent="0.25">
      <c r="A37" s="86" t="s">
        <v>93</v>
      </c>
      <c r="B37" s="90"/>
      <c r="C37" s="120"/>
      <c r="D37" s="90"/>
      <c r="E37" s="90"/>
      <c r="F37" s="120"/>
      <c r="G37" s="90"/>
      <c r="I37" s="120"/>
      <c r="J37" s="92"/>
      <c r="M37" s="120"/>
      <c r="N37" s="90"/>
      <c r="P37" s="120"/>
      <c r="Q37" s="90"/>
      <c r="T37" s="120"/>
      <c r="U37" s="90"/>
      <c r="V37" s="120"/>
      <c r="W37" s="90"/>
      <c r="Y37" s="88"/>
      <c r="Z37" s="120"/>
    </row>
    <row r="38" spans="1:26" s="122" customFormat="1" x14ac:dyDescent="0.25">
      <c r="A38" s="81" t="s">
        <v>94</v>
      </c>
      <c r="B38" s="78"/>
      <c r="C38" s="175"/>
      <c r="D38" s="78"/>
      <c r="E38" s="78"/>
      <c r="F38" s="175"/>
      <c r="G38" s="78"/>
      <c r="I38" s="175"/>
      <c r="J38" s="80"/>
      <c r="M38" s="175"/>
      <c r="N38" s="78"/>
      <c r="P38" s="175"/>
      <c r="Q38" s="78"/>
      <c r="T38" s="175"/>
      <c r="U38" s="78"/>
      <c r="V38" s="175"/>
      <c r="W38" s="78"/>
      <c r="Y38" s="65"/>
      <c r="Z38" s="175"/>
    </row>
    <row r="39" spans="1:26" s="58" customFormat="1" x14ac:dyDescent="0.25">
      <c r="A39" s="70" t="s">
        <v>95</v>
      </c>
      <c r="B39" s="57"/>
      <c r="C39" s="123"/>
      <c r="D39" s="57"/>
      <c r="E39" s="57"/>
      <c r="F39" s="123"/>
      <c r="G39" s="57"/>
      <c r="I39" s="123"/>
      <c r="J39" s="59"/>
      <c r="M39" s="123"/>
      <c r="N39" s="57"/>
      <c r="P39" s="123"/>
      <c r="Q39" s="57"/>
      <c r="T39" s="123"/>
      <c r="U39" s="57"/>
      <c r="V39" s="123"/>
      <c r="W39" s="57"/>
      <c r="Y39" s="71"/>
      <c r="Z39" s="123"/>
    </row>
    <row r="40" spans="1:26" s="126" customFormat="1" x14ac:dyDescent="0.25">
      <c r="A40" s="124" t="s">
        <v>96</v>
      </c>
      <c r="B40" s="125"/>
      <c r="C40" s="176"/>
      <c r="D40" s="125"/>
      <c r="E40" s="125"/>
      <c r="F40" s="176"/>
      <c r="G40" s="125"/>
      <c r="I40" s="176"/>
      <c r="J40" s="177"/>
      <c r="M40" s="176"/>
      <c r="N40" s="125"/>
      <c r="P40" s="176"/>
      <c r="Q40" s="125"/>
      <c r="T40" s="176"/>
      <c r="U40" s="125"/>
      <c r="V40" s="176"/>
      <c r="W40" s="125"/>
      <c r="Y40" s="127"/>
      <c r="Z40" s="176"/>
    </row>
    <row r="41" spans="1:26" s="132" customFormat="1" x14ac:dyDescent="0.25">
      <c r="A41" s="128" t="s">
        <v>97</v>
      </c>
      <c r="B41" s="178"/>
      <c r="C41" s="179"/>
      <c r="D41" s="178"/>
      <c r="E41" s="178"/>
      <c r="F41" s="179"/>
      <c r="G41" s="178"/>
      <c r="I41" s="179"/>
      <c r="J41" s="180"/>
      <c r="M41" s="179"/>
      <c r="N41" s="178"/>
      <c r="P41" s="179"/>
      <c r="Q41" s="178"/>
      <c r="T41" s="179"/>
      <c r="U41" s="178"/>
      <c r="V41" s="179"/>
      <c r="W41" s="178"/>
      <c r="Y41" s="131"/>
      <c r="Z41" s="179"/>
    </row>
  </sheetData>
  <mergeCells count="32">
    <mergeCell ref="Q31:T31"/>
    <mergeCell ref="U31:V31"/>
    <mergeCell ref="W31:X31"/>
    <mergeCell ref="B32:C32"/>
    <mergeCell ref="E32:F32"/>
    <mergeCell ref="G32:I32"/>
    <mergeCell ref="K32:M32"/>
    <mergeCell ref="N32:P32"/>
    <mergeCell ref="Q32:T32"/>
    <mergeCell ref="U32:V32"/>
    <mergeCell ref="W32:X32"/>
    <mergeCell ref="B31:C31"/>
    <mergeCell ref="E31:F31"/>
    <mergeCell ref="G31:I31"/>
    <mergeCell ref="K31:M31"/>
    <mergeCell ref="N31:P31"/>
    <mergeCell ref="Q33:T33"/>
    <mergeCell ref="U33:V33"/>
    <mergeCell ref="W33:X33"/>
    <mergeCell ref="B34:C34"/>
    <mergeCell ref="E34:F34"/>
    <mergeCell ref="G34:I34"/>
    <mergeCell ref="K34:M34"/>
    <mergeCell ref="N34:P34"/>
    <mergeCell ref="Q34:T34"/>
    <mergeCell ref="U34:V34"/>
    <mergeCell ref="W34:X34"/>
    <mergeCell ref="B33:C33"/>
    <mergeCell ref="E33:F33"/>
    <mergeCell ref="G33:I33"/>
    <mergeCell ref="K33:M33"/>
    <mergeCell ref="N33:P33"/>
  </mergeCells>
  <pageMargins left="0.25" right="0.25" top="0.75" bottom="0.75" header="0.511811023622047" footer="0.511811023622047"/>
  <pageSetup paperSize="8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40"/>
  <sheetViews>
    <sheetView zoomScaleNormal="100" workbookViewId="0">
      <selection activeCell="E24" sqref="E24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4" customWidth="1"/>
    <col min="11" max="11" width="7.28515625" style="3" customWidth="1"/>
    <col min="12" max="12" width="7.28515625" style="5" customWidth="1"/>
    <col min="13" max="13" width="7.28515625" style="4" customWidth="1"/>
    <col min="14" max="14" width="7.28515625" style="3" customWidth="1"/>
    <col min="15" max="15" width="7.28515625" style="5" customWidth="1"/>
    <col min="16" max="16" width="7.28515625" style="4" customWidth="1"/>
    <col min="17" max="18" width="7.28515625" style="3" customWidth="1"/>
    <col min="19" max="19" width="7.28515625" style="5" customWidth="1"/>
    <col min="20" max="20" width="7.28515625" style="4" customWidth="1"/>
    <col min="21" max="21" width="7.28515625" style="5" customWidth="1"/>
    <col min="22" max="22" width="7.28515625" style="4" customWidth="1"/>
    <col min="23" max="23" width="7.28515625" style="3" customWidth="1"/>
    <col min="24" max="24" width="8.85546875" style="164"/>
    <col min="25" max="1024" width="8.85546875" style="3"/>
  </cols>
  <sheetData>
    <row r="1" spans="1:25" s="19" customFormat="1" x14ac:dyDescent="0.25">
      <c r="A1" s="7"/>
      <c r="B1" s="181" t="s">
        <v>0</v>
      </c>
      <c r="C1" s="182" t="s">
        <v>1</v>
      </c>
      <c r="D1" s="181" t="s">
        <v>99</v>
      </c>
      <c r="E1" s="181" t="s">
        <v>2</v>
      </c>
      <c r="F1" s="182" t="s">
        <v>3</v>
      </c>
      <c r="G1" s="181" t="s">
        <v>4</v>
      </c>
      <c r="H1" s="183" t="s">
        <v>5</v>
      </c>
      <c r="I1" s="182" t="s">
        <v>6</v>
      </c>
      <c r="J1" s="181" t="s">
        <v>7</v>
      </c>
      <c r="K1" s="183" t="s">
        <v>8</v>
      </c>
      <c r="L1" s="182" t="s">
        <v>9</v>
      </c>
      <c r="M1" s="181" t="s">
        <v>10</v>
      </c>
      <c r="N1" s="183" t="s">
        <v>11</v>
      </c>
      <c r="O1" s="182" t="s">
        <v>13</v>
      </c>
      <c r="P1" s="181" t="s">
        <v>14</v>
      </c>
      <c r="Q1" s="183" t="s">
        <v>15</v>
      </c>
      <c r="R1" s="183" t="s">
        <v>16</v>
      </c>
      <c r="S1" s="182" t="s">
        <v>101</v>
      </c>
      <c r="T1" s="181" t="s">
        <v>19</v>
      </c>
      <c r="U1" s="182" t="s">
        <v>20</v>
      </c>
      <c r="V1" s="181" t="s">
        <v>21</v>
      </c>
      <c r="W1" s="184" t="s">
        <v>102</v>
      </c>
      <c r="X1" s="185" t="s">
        <v>131</v>
      </c>
    </row>
    <row r="2" spans="1:25" x14ac:dyDescent="0.25">
      <c r="A2" s="20" t="s">
        <v>24</v>
      </c>
      <c r="B2" s="186"/>
      <c r="C2" s="168"/>
      <c r="D2" s="186"/>
      <c r="E2" s="186"/>
      <c r="F2" s="168"/>
      <c r="G2" s="186"/>
      <c r="H2" s="187"/>
      <c r="I2" s="168"/>
      <c r="J2" s="186"/>
      <c r="K2" s="187"/>
      <c r="L2" s="168"/>
      <c r="M2" s="186"/>
      <c r="N2" s="187"/>
      <c r="O2" s="168"/>
      <c r="P2" s="186"/>
      <c r="Q2" s="187"/>
      <c r="R2" s="187"/>
      <c r="S2" s="168"/>
      <c r="T2" s="186"/>
      <c r="U2" s="168"/>
      <c r="V2" s="186" t="s">
        <v>148</v>
      </c>
      <c r="W2" s="20" t="s">
        <v>148</v>
      </c>
      <c r="X2" s="188" t="s">
        <v>148</v>
      </c>
    </row>
    <row r="3" spans="1:25" s="38" customFormat="1" x14ac:dyDescent="0.25">
      <c r="A3" s="29" t="s">
        <v>25</v>
      </c>
      <c r="B3" s="158"/>
      <c r="C3" s="158"/>
      <c r="D3" s="158"/>
      <c r="E3" s="158"/>
      <c r="F3" s="158"/>
      <c r="G3" s="158" t="s">
        <v>149</v>
      </c>
      <c r="H3" s="158" t="s">
        <v>149</v>
      </c>
      <c r="I3" s="158" t="s">
        <v>149</v>
      </c>
      <c r="J3" s="158"/>
      <c r="K3" s="158"/>
      <c r="L3" s="158"/>
      <c r="M3" s="158"/>
      <c r="N3" s="158"/>
      <c r="O3" s="37"/>
      <c r="P3" s="37"/>
      <c r="Q3" s="37"/>
      <c r="R3" s="37"/>
      <c r="S3" s="37"/>
      <c r="T3" s="37"/>
      <c r="U3" s="37"/>
      <c r="V3" s="37"/>
      <c r="W3" s="29"/>
      <c r="X3" s="189"/>
    </row>
    <row r="4" spans="1:25" s="38" customFormat="1" x14ac:dyDescent="0.25">
      <c r="A4" s="29" t="s">
        <v>31</v>
      </c>
      <c r="B4" s="158" t="s">
        <v>133</v>
      </c>
      <c r="C4" s="158" t="s">
        <v>133</v>
      </c>
      <c r="D4" s="158" t="s">
        <v>133</v>
      </c>
      <c r="E4" s="158" t="s">
        <v>133</v>
      </c>
      <c r="F4" s="158" t="s">
        <v>133</v>
      </c>
      <c r="G4" s="158" t="s">
        <v>133</v>
      </c>
      <c r="H4" s="158" t="s">
        <v>133</v>
      </c>
      <c r="I4" s="158" t="s">
        <v>133</v>
      </c>
      <c r="J4" s="37" t="s">
        <v>133</v>
      </c>
      <c r="K4" s="37" t="s">
        <v>133</v>
      </c>
      <c r="L4" s="37" t="s">
        <v>133</v>
      </c>
      <c r="M4" s="158" t="s">
        <v>133</v>
      </c>
      <c r="N4" s="158" t="s">
        <v>133</v>
      </c>
      <c r="O4" s="37" t="s">
        <v>133</v>
      </c>
      <c r="P4" s="37" t="s">
        <v>133</v>
      </c>
      <c r="Q4" s="37" t="s">
        <v>133</v>
      </c>
      <c r="R4" s="37" t="s">
        <v>133</v>
      </c>
      <c r="S4" s="37" t="s">
        <v>133</v>
      </c>
      <c r="T4" s="158" t="s">
        <v>133</v>
      </c>
      <c r="U4" s="158" t="s">
        <v>133</v>
      </c>
      <c r="V4" s="158" t="s">
        <v>133</v>
      </c>
      <c r="W4" s="157" t="s">
        <v>133</v>
      </c>
      <c r="X4" s="189"/>
    </row>
    <row r="5" spans="1:25" x14ac:dyDescent="0.25">
      <c r="A5" s="20" t="s">
        <v>38</v>
      </c>
      <c r="B5" s="61">
        <v>2016</v>
      </c>
      <c r="C5" s="50">
        <v>2016</v>
      </c>
      <c r="D5" s="61">
        <v>2016</v>
      </c>
      <c r="E5" s="61">
        <v>2017</v>
      </c>
      <c r="F5" s="50">
        <v>2017</v>
      </c>
      <c r="G5" s="61">
        <v>2009</v>
      </c>
      <c r="H5" s="53">
        <v>2016</v>
      </c>
      <c r="I5" s="50">
        <v>2013</v>
      </c>
      <c r="J5" s="59" t="s">
        <v>136</v>
      </c>
      <c r="K5" s="53">
        <v>2017</v>
      </c>
      <c r="L5" s="50">
        <v>2015</v>
      </c>
      <c r="M5" s="61">
        <v>2017</v>
      </c>
      <c r="N5" s="53">
        <v>2015</v>
      </c>
      <c r="O5" s="50">
        <v>2014</v>
      </c>
      <c r="P5" s="61">
        <v>2011</v>
      </c>
      <c r="Q5" s="71">
        <v>2008</v>
      </c>
      <c r="R5" s="53">
        <v>2014</v>
      </c>
      <c r="S5" s="50">
        <v>2015</v>
      </c>
      <c r="T5" s="61">
        <v>2015</v>
      </c>
      <c r="U5" s="60">
        <v>2009</v>
      </c>
      <c r="V5" s="61">
        <v>2016</v>
      </c>
      <c r="W5" s="62">
        <v>2016</v>
      </c>
      <c r="X5" s="190">
        <v>2017</v>
      </c>
    </row>
    <row r="6" spans="1:25" x14ac:dyDescent="0.25">
      <c r="A6" s="20" t="s">
        <v>39</v>
      </c>
      <c r="B6" s="84"/>
      <c r="C6" s="83"/>
      <c r="D6" s="84"/>
      <c r="E6" s="61"/>
      <c r="F6" s="50"/>
      <c r="G6" s="84"/>
      <c r="H6" s="82"/>
      <c r="I6" s="83"/>
      <c r="J6" s="61" t="s">
        <v>150</v>
      </c>
      <c r="K6" s="53" t="s">
        <v>150</v>
      </c>
      <c r="L6" s="50" t="s">
        <v>150</v>
      </c>
      <c r="M6" s="61" t="s">
        <v>150</v>
      </c>
      <c r="N6" s="53" t="s">
        <v>150</v>
      </c>
      <c r="O6" s="50" t="s">
        <v>150</v>
      </c>
      <c r="P6" s="84"/>
      <c r="Q6" s="82"/>
      <c r="R6" s="82"/>
      <c r="S6" s="83"/>
      <c r="T6" s="84"/>
      <c r="U6" s="83"/>
      <c r="V6" s="84"/>
      <c r="W6" s="85"/>
      <c r="X6" s="190"/>
      <c r="Y6" s="3" t="s">
        <v>40</v>
      </c>
    </row>
    <row r="7" spans="1:25" x14ac:dyDescent="0.25">
      <c r="A7" s="20" t="s">
        <v>41</v>
      </c>
      <c r="B7" s="61"/>
      <c r="C7" s="50"/>
      <c r="D7" s="61"/>
      <c r="E7" s="61"/>
      <c r="F7" s="50"/>
      <c r="G7" s="61"/>
      <c r="H7" s="53"/>
      <c r="I7" s="50"/>
      <c r="J7" s="61"/>
      <c r="K7" s="53"/>
      <c r="L7" s="50"/>
      <c r="M7" s="61"/>
      <c r="N7" s="53"/>
      <c r="O7" s="50"/>
      <c r="P7" s="61"/>
      <c r="Q7" s="53"/>
      <c r="R7" s="53"/>
      <c r="S7" s="50"/>
      <c r="T7" s="61"/>
      <c r="U7" s="50"/>
      <c r="V7" s="61"/>
      <c r="W7" s="62"/>
      <c r="X7" s="190"/>
      <c r="Y7" s="3" t="s">
        <v>42</v>
      </c>
    </row>
    <row r="8" spans="1:25" x14ac:dyDescent="0.25">
      <c r="A8" s="20" t="s">
        <v>43</v>
      </c>
      <c r="B8" s="61"/>
      <c r="C8" s="50"/>
      <c r="D8" s="61"/>
      <c r="E8" s="61"/>
      <c r="F8" s="50"/>
      <c r="G8" s="61"/>
      <c r="H8" s="53"/>
      <c r="I8" s="50"/>
      <c r="J8" s="61"/>
      <c r="K8" s="53"/>
      <c r="L8" s="50"/>
      <c r="M8" s="61"/>
      <c r="N8" s="53"/>
      <c r="O8" s="50"/>
      <c r="P8" s="61"/>
      <c r="Q8" s="53"/>
      <c r="R8" s="53"/>
      <c r="S8" s="50"/>
      <c r="T8" s="61"/>
      <c r="U8" s="50"/>
      <c r="V8" s="61"/>
      <c r="W8" s="62"/>
      <c r="X8" s="190"/>
      <c r="Y8" s="3" t="s">
        <v>42</v>
      </c>
    </row>
    <row r="9" spans="1:25" x14ac:dyDescent="0.25">
      <c r="A9" s="20" t="s">
        <v>44</v>
      </c>
      <c r="B9" s="59"/>
      <c r="C9" s="60"/>
      <c r="D9" s="59"/>
      <c r="E9" s="59"/>
      <c r="F9" s="60"/>
      <c r="G9" s="59"/>
      <c r="H9" s="71"/>
      <c r="I9" s="60"/>
      <c r="J9" s="59"/>
      <c r="K9" s="71"/>
      <c r="L9" s="191"/>
      <c r="M9" s="59"/>
      <c r="N9" s="71"/>
      <c r="O9" s="60"/>
      <c r="P9" s="59"/>
      <c r="Q9" s="71"/>
      <c r="R9" s="71"/>
      <c r="S9" s="60"/>
      <c r="T9" s="59"/>
      <c r="U9" s="60"/>
      <c r="V9" s="59"/>
      <c r="W9" s="70"/>
      <c r="X9" s="192"/>
      <c r="Y9" s="3" t="s">
        <v>45</v>
      </c>
    </row>
    <row r="10" spans="1:25" x14ac:dyDescent="0.25">
      <c r="A10" s="20" t="s">
        <v>46</v>
      </c>
      <c r="B10" s="61">
        <v>2016</v>
      </c>
      <c r="C10" s="50">
        <v>2016</v>
      </c>
      <c r="D10" s="61">
        <v>2016</v>
      </c>
      <c r="E10" s="61">
        <v>2017</v>
      </c>
      <c r="F10" s="50">
        <v>2017</v>
      </c>
      <c r="G10" s="61">
        <v>2015</v>
      </c>
      <c r="H10" s="53">
        <v>2017</v>
      </c>
      <c r="I10" s="50">
        <v>2013</v>
      </c>
      <c r="J10" s="59">
        <v>2010</v>
      </c>
      <c r="K10" s="53">
        <v>2016</v>
      </c>
      <c r="L10" s="50">
        <v>2015</v>
      </c>
      <c r="M10" s="61">
        <v>2019</v>
      </c>
      <c r="N10" s="53">
        <v>2019</v>
      </c>
      <c r="O10" s="74">
        <v>2014</v>
      </c>
      <c r="P10" s="61">
        <v>2017</v>
      </c>
      <c r="Q10" s="53">
        <v>2017</v>
      </c>
      <c r="R10" s="71" t="s">
        <v>151</v>
      </c>
      <c r="S10" s="50">
        <v>2015</v>
      </c>
      <c r="T10" s="59">
        <v>2011</v>
      </c>
      <c r="U10" s="50">
        <v>2017</v>
      </c>
      <c r="V10" s="61">
        <v>2014</v>
      </c>
      <c r="W10" s="62">
        <v>2016</v>
      </c>
      <c r="X10" s="190">
        <v>2017</v>
      </c>
      <c r="Y10" s="3" t="s">
        <v>47</v>
      </c>
    </row>
    <row r="11" spans="1:25" x14ac:dyDescent="0.25">
      <c r="A11" s="20" t="s">
        <v>50</v>
      </c>
      <c r="B11" s="61">
        <v>2016</v>
      </c>
      <c r="C11" s="50">
        <v>2016</v>
      </c>
      <c r="D11" s="61">
        <v>2016</v>
      </c>
      <c r="E11" s="61">
        <v>2017</v>
      </c>
      <c r="F11" s="50">
        <v>2017</v>
      </c>
      <c r="G11" s="61">
        <v>2015</v>
      </c>
      <c r="H11" s="53">
        <v>2016</v>
      </c>
      <c r="I11" s="60">
        <v>2013</v>
      </c>
      <c r="J11" s="59">
        <v>2013</v>
      </c>
      <c r="K11" s="53">
        <v>2016</v>
      </c>
      <c r="L11" s="60">
        <v>2012</v>
      </c>
      <c r="M11" s="61">
        <v>2017</v>
      </c>
      <c r="N11" s="53">
        <v>2018</v>
      </c>
      <c r="O11" s="50">
        <v>2014</v>
      </c>
      <c r="P11" s="61">
        <v>2017</v>
      </c>
      <c r="Q11" s="53">
        <v>2017</v>
      </c>
      <c r="R11" s="71">
        <v>2012</v>
      </c>
      <c r="S11" s="50">
        <v>2015</v>
      </c>
      <c r="T11" s="61">
        <v>2017</v>
      </c>
      <c r="U11" s="50">
        <v>2015</v>
      </c>
      <c r="V11" s="59">
        <v>2016</v>
      </c>
      <c r="W11" s="62">
        <v>2016</v>
      </c>
      <c r="X11" s="190">
        <v>2017</v>
      </c>
      <c r="Y11" s="3" t="s">
        <v>51</v>
      </c>
    </row>
    <row r="12" spans="1:25" x14ac:dyDescent="0.25">
      <c r="A12" s="20" t="s">
        <v>52</v>
      </c>
      <c r="B12" s="61">
        <v>2016</v>
      </c>
      <c r="C12" s="50">
        <v>2016</v>
      </c>
      <c r="D12" s="61">
        <v>2016</v>
      </c>
      <c r="E12" s="61">
        <v>2017</v>
      </c>
      <c r="F12" s="50">
        <v>2017</v>
      </c>
      <c r="G12" s="80">
        <v>2015</v>
      </c>
      <c r="H12" s="53">
        <v>2017</v>
      </c>
      <c r="I12" s="50">
        <v>2017</v>
      </c>
      <c r="J12" s="61">
        <v>2016</v>
      </c>
      <c r="K12" s="53">
        <v>2016</v>
      </c>
      <c r="L12" s="60" t="s">
        <v>152</v>
      </c>
      <c r="M12" s="61">
        <v>2017</v>
      </c>
      <c r="N12" s="53">
        <v>2019</v>
      </c>
      <c r="O12" s="50">
        <v>2018</v>
      </c>
      <c r="P12" s="61">
        <v>2017</v>
      </c>
      <c r="Q12" s="53">
        <v>2017</v>
      </c>
      <c r="R12" s="71">
        <v>2012</v>
      </c>
      <c r="S12" s="50">
        <v>2015</v>
      </c>
      <c r="T12" s="61">
        <v>2017</v>
      </c>
      <c r="U12" s="50">
        <v>2015</v>
      </c>
      <c r="V12" s="61">
        <v>2016</v>
      </c>
      <c r="W12" s="62">
        <v>2016</v>
      </c>
      <c r="X12" s="190">
        <v>2017</v>
      </c>
      <c r="Y12" s="3" t="s">
        <v>51</v>
      </c>
    </row>
    <row r="13" spans="1:25" x14ac:dyDescent="0.25">
      <c r="A13" s="20" t="s">
        <v>54</v>
      </c>
      <c r="B13" s="59"/>
      <c r="C13" s="60"/>
      <c r="D13" s="59"/>
      <c r="E13" s="59"/>
      <c r="F13" s="60"/>
      <c r="G13" s="59"/>
      <c r="H13" s="71"/>
      <c r="I13" s="60"/>
      <c r="J13" s="59"/>
      <c r="K13" s="71"/>
      <c r="L13" s="60"/>
      <c r="M13" s="59"/>
      <c r="N13" s="71"/>
      <c r="O13" s="60"/>
      <c r="P13" s="59"/>
      <c r="Q13" s="71"/>
      <c r="R13" s="71"/>
      <c r="S13" s="60"/>
      <c r="T13" s="59"/>
      <c r="U13" s="60"/>
      <c r="V13" s="59"/>
      <c r="W13" s="70"/>
      <c r="X13" s="192"/>
      <c r="Y13" s="3" t="s">
        <v>55</v>
      </c>
    </row>
    <row r="14" spans="1:25" x14ac:dyDescent="0.25">
      <c r="A14" s="20" t="s">
        <v>56</v>
      </c>
      <c r="B14" s="59"/>
      <c r="C14" s="60"/>
      <c r="D14" s="84"/>
      <c r="E14" s="59"/>
      <c r="F14" s="60"/>
      <c r="G14" s="80"/>
      <c r="H14" s="71"/>
      <c r="I14" s="60"/>
      <c r="J14" s="59"/>
      <c r="K14" s="71"/>
      <c r="L14" s="60"/>
      <c r="M14" s="59"/>
      <c r="N14" s="71"/>
      <c r="O14" s="191"/>
      <c r="P14" s="84"/>
      <c r="Q14" s="71"/>
      <c r="R14" s="65"/>
      <c r="S14" s="60"/>
      <c r="T14" s="59"/>
      <c r="U14" s="60"/>
      <c r="V14" s="59"/>
      <c r="W14" s="70"/>
      <c r="X14" s="192" t="s">
        <v>137</v>
      </c>
      <c r="Y14" s="3" t="s">
        <v>55</v>
      </c>
    </row>
    <row r="15" spans="1:25" x14ac:dyDescent="0.25">
      <c r="A15" s="20" t="s">
        <v>57</v>
      </c>
      <c r="B15" s="61" t="s">
        <v>153</v>
      </c>
      <c r="C15" s="74" t="s">
        <v>154</v>
      </c>
      <c r="D15" s="84"/>
      <c r="E15" s="61"/>
      <c r="F15" s="50"/>
      <c r="G15" s="59" t="s">
        <v>155</v>
      </c>
      <c r="H15" s="151" t="s">
        <v>156</v>
      </c>
      <c r="I15" s="60" t="s">
        <v>157</v>
      </c>
      <c r="J15" s="59" t="s">
        <v>158</v>
      </c>
      <c r="K15" s="53" t="s">
        <v>159</v>
      </c>
      <c r="L15" s="50" t="s">
        <v>160</v>
      </c>
      <c r="M15" s="61" t="s">
        <v>161</v>
      </c>
      <c r="N15" s="53" t="s">
        <v>161</v>
      </c>
      <c r="O15" s="50" t="s">
        <v>162</v>
      </c>
      <c r="P15" s="84"/>
      <c r="Q15" s="53"/>
      <c r="R15" s="71" t="s">
        <v>163</v>
      </c>
      <c r="S15" s="83"/>
      <c r="T15" s="61" t="s">
        <v>125</v>
      </c>
      <c r="U15" s="50" t="s">
        <v>164</v>
      </c>
      <c r="V15" s="61"/>
      <c r="W15" s="62"/>
      <c r="X15" s="193"/>
      <c r="Y15" s="3" t="s">
        <v>67</v>
      </c>
    </row>
    <row r="16" spans="1:25" x14ac:dyDescent="0.25">
      <c r="A16" s="20" t="s">
        <v>69</v>
      </c>
      <c r="B16" s="59"/>
      <c r="C16" s="60"/>
      <c r="D16" s="84"/>
      <c r="E16" s="61"/>
      <c r="F16" s="50"/>
      <c r="G16" s="80"/>
      <c r="H16" s="53"/>
      <c r="I16" s="50"/>
      <c r="J16" s="59"/>
      <c r="K16" s="65"/>
      <c r="L16" s="60"/>
      <c r="M16" s="61"/>
      <c r="N16" s="71"/>
      <c r="O16" s="75"/>
      <c r="P16" s="84"/>
      <c r="Q16" s="71"/>
      <c r="R16" s="71"/>
      <c r="S16" s="60"/>
      <c r="T16" s="59"/>
      <c r="U16" s="60"/>
      <c r="V16" s="61">
        <v>2016</v>
      </c>
      <c r="W16" s="62">
        <v>2014</v>
      </c>
      <c r="X16" s="190"/>
      <c r="Y16" s="3" t="s">
        <v>70</v>
      </c>
    </row>
    <row r="17" spans="1:25" x14ac:dyDescent="0.25">
      <c r="A17" s="20" t="s">
        <v>145</v>
      </c>
      <c r="B17" s="61"/>
      <c r="C17" s="50"/>
      <c r="D17" s="61"/>
      <c r="E17" s="61"/>
      <c r="F17" s="50"/>
      <c r="G17" s="61"/>
      <c r="H17" s="53"/>
      <c r="I17" s="50"/>
      <c r="J17" s="180"/>
      <c r="K17" s="127"/>
      <c r="L17" s="75"/>
      <c r="M17" s="61"/>
      <c r="N17" s="53"/>
      <c r="O17" s="50"/>
      <c r="P17" s="84"/>
      <c r="Q17" s="53"/>
      <c r="R17" s="53"/>
      <c r="S17" s="50"/>
      <c r="T17" s="61"/>
      <c r="U17" s="50"/>
      <c r="V17" s="61"/>
      <c r="W17" s="62"/>
      <c r="X17" s="190"/>
      <c r="Y17" s="3" t="s">
        <v>42</v>
      </c>
    </row>
    <row r="18" spans="1:25" x14ac:dyDescent="0.25">
      <c r="A18" s="20" t="s">
        <v>71</v>
      </c>
      <c r="B18" s="61"/>
      <c r="C18" s="50"/>
      <c r="D18" s="61"/>
      <c r="E18" s="61"/>
      <c r="F18" s="50"/>
      <c r="G18" s="61"/>
      <c r="H18" s="53"/>
      <c r="I18" s="50"/>
      <c r="J18" s="61"/>
      <c r="K18" s="53"/>
      <c r="L18" s="50"/>
      <c r="M18" s="61"/>
      <c r="N18" s="53"/>
      <c r="O18" s="50"/>
      <c r="P18" s="84"/>
      <c r="Q18" s="53"/>
      <c r="R18" s="53"/>
      <c r="S18" s="50"/>
      <c r="T18" s="61"/>
      <c r="U18" s="50"/>
      <c r="V18" s="61"/>
      <c r="W18" s="62"/>
      <c r="X18" s="190"/>
      <c r="Y18" s="3" t="s">
        <v>42</v>
      </c>
    </row>
    <row r="19" spans="1:25" x14ac:dyDescent="0.25">
      <c r="A19" s="20" t="s">
        <v>72</v>
      </c>
      <c r="B19" s="61"/>
      <c r="C19" s="50"/>
      <c r="D19" s="61"/>
      <c r="E19" s="61"/>
      <c r="F19" s="50"/>
      <c r="G19" s="61"/>
      <c r="H19" s="53"/>
      <c r="I19" s="50"/>
      <c r="J19" s="61"/>
      <c r="K19" s="53"/>
      <c r="L19" s="50"/>
      <c r="M19" s="61"/>
      <c r="N19" s="53"/>
      <c r="O19" s="50"/>
      <c r="P19" s="61"/>
      <c r="Q19" s="53"/>
      <c r="R19" s="53"/>
      <c r="S19" s="50"/>
      <c r="T19" s="61"/>
      <c r="U19" s="50"/>
      <c r="V19" s="61"/>
      <c r="W19" s="62"/>
      <c r="X19" s="190"/>
      <c r="Y19" s="3" t="s">
        <v>42</v>
      </c>
    </row>
    <row r="20" spans="1:25" x14ac:dyDescent="0.25">
      <c r="A20" s="20" t="s">
        <v>73</v>
      </c>
      <c r="B20" s="61"/>
      <c r="C20" s="50"/>
      <c r="D20" s="61"/>
      <c r="E20" s="61"/>
      <c r="F20" s="50"/>
      <c r="G20" s="61"/>
      <c r="H20" s="53"/>
      <c r="I20" s="50"/>
      <c r="J20" s="61"/>
      <c r="K20" s="65"/>
      <c r="L20" s="50"/>
      <c r="M20" s="80"/>
      <c r="N20" s="53"/>
      <c r="O20" s="50"/>
      <c r="P20" s="61"/>
      <c r="Q20" s="53"/>
      <c r="R20" s="53"/>
      <c r="S20" s="50"/>
      <c r="T20" s="61"/>
      <c r="U20" s="50"/>
      <c r="V20" s="61"/>
      <c r="W20" s="62"/>
      <c r="X20" s="190"/>
      <c r="Y20" s="3" t="s">
        <v>42</v>
      </c>
    </row>
    <row r="21" spans="1:25" x14ac:dyDescent="0.25">
      <c r="A21" s="20" t="s">
        <v>74</v>
      </c>
      <c r="B21" s="61"/>
      <c r="C21" s="50"/>
      <c r="D21" s="61"/>
      <c r="E21" s="61"/>
      <c r="F21" s="50"/>
      <c r="G21" s="61"/>
      <c r="H21" s="53"/>
      <c r="I21" s="50"/>
      <c r="J21" s="61"/>
      <c r="K21" s="53"/>
      <c r="L21" s="50"/>
      <c r="M21" s="61"/>
      <c r="N21" s="53"/>
      <c r="O21" s="50"/>
      <c r="P21" s="61"/>
      <c r="Q21" s="53"/>
      <c r="R21" s="53"/>
      <c r="S21" s="50"/>
      <c r="T21" s="61"/>
      <c r="U21" s="50"/>
      <c r="V21" s="61"/>
      <c r="W21" s="62"/>
      <c r="X21" s="190"/>
      <c r="Y21" s="3" t="s">
        <v>42</v>
      </c>
    </row>
    <row r="22" spans="1:25" x14ac:dyDescent="0.25">
      <c r="A22" s="20" t="s">
        <v>75</v>
      </c>
      <c r="B22" s="61">
        <v>2016</v>
      </c>
      <c r="C22" s="50">
        <v>2016</v>
      </c>
      <c r="D22" s="61">
        <v>2016</v>
      </c>
      <c r="E22" s="61">
        <v>2017</v>
      </c>
      <c r="F22" s="50">
        <v>2017</v>
      </c>
      <c r="G22" s="61">
        <v>2016</v>
      </c>
      <c r="H22" s="53">
        <v>2017</v>
      </c>
      <c r="I22" s="50">
        <v>2017</v>
      </c>
      <c r="J22" s="59" t="s">
        <v>165</v>
      </c>
      <c r="K22" s="53">
        <v>2016</v>
      </c>
      <c r="L22" s="50">
        <v>2015</v>
      </c>
      <c r="M22" s="61">
        <v>2017</v>
      </c>
      <c r="N22" s="53">
        <v>2015</v>
      </c>
      <c r="O22" s="50">
        <v>2018</v>
      </c>
      <c r="P22" s="61">
        <v>2017</v>
      </c>
      <c r="Q22" s="53">
        <v>2015</v>
      </c>
      <c r="R22" s="53">
        <v>2014</v>
      </c>
      <c r="S22" s="50">
        <v>2015</v>
      </c>
      <c r="T22" s="61">
        <v>2017</v>
      </c>
      <c r="U22" s="50">
        <v>2015</v>
      </c>
      <c r="V22" s="61">
        <v>2016</v>
      </c>
      <c r="W22" s="62">
        <v>2016</v>
      </c>
      <c r="X22" s="190">
        <v>2017</v>
      </c>
      <c r="Y22" s="3" t="s">
        <v>76</v>
      </c>
    </row>
    <row r="23" spans="1:25" x14ac:dyDescent="0.25">
      <c r="A23" s="20" t="s">
        <v>78</v>
      </c>
      <c r="B23" s="61"/>
      <c r="C23" s="50"/>
      <c r="D23" s="61"/>
      <c r="E23" s="61"/>
      <c r="F23" s="50"/>
      <c r="G23" s="61"/>
      <c r="H23" s="53"/>
      <c r="I23" s="50"/>
      <c r="J23" s="61"/>
      <c r="K23" s="53"/>
      <c r="L23" s="50"/>
      <c r="M23" s="61"/>
      <c r="N23" s="53"/>
      <c r="O23" s="50"/>
      <c r="P23" s="61"/>
      <c r="Q23" s="53"/>
      <c r="R23" s="53"/>
      <c r="S23" s="50"/>
      <c r="T23" s="61"/>
      <c r="U23" s="50"/>
      <c r="V23" s="61"/>
      <c r="W23" s="62"/>
      <c r="X23" s="190"/>
      <c r="Y23" s="3" t="s">
        <v>42</v>
      </c>
    </row>
    <row r="24" spans="1:25" x14ac:dyDescent="0.25">
      <c r="A24" s="20" t="s">
        <v>146</v>
      </c>
      <c r="B24" s="84"/>
      <c r="C24" s="83"/>
      <c r="D24" s="84"/>
      <c r="E24" s="84"/>
      <c r="F24" s="83"/>
      <c r="G24" s="84"/>
      <c r="H24" s="82"/>
      <c r="I24" s="83"/>
      <c r="J24" s="84"/>
      <c r="K24" s="82"/>
      <c r="L24" s="83"/>
      <c r="M24" s="84"/>
      <c r="N24" s="82"/>
      <c r="O24" s="83"/>
      <c r="P24" s="84"/>
      <c r="Q24" s="82"/>
      <c r="R24" s="82"/>
      <c r="S24" s="83"/>
      <c r="T24" s="84"/>
      <c r="U24" s="83"/>
      <c r="V24" s="84"/>
      <c r="W24" s="85"/>
      <c r="X24" s="193"/>
    </row>
    <row r="25" spans="1:25" x14ac:dyDescent="0.25">
      <c r="A25" s="20" t="s">
        <v>79</v>
      </c>
      <c r="B25" s="84"/>
      <c r="C25" s="83"/>
      <c r="D25" s="84"/>
      <c r="E25" s="84"/>
      <c r="F25" s="83"/>
      <c r="G25" s="84"/>
      <c r="H25" s="82"/>
      <c r="I25" s="83"/>
      <c r="J25" s="84"/>
      <c r="K25" s="82"/>
      <c r="L25" s="83"/>
      <c r="M25" s="84"/>
      <c r="N25" s="82"/>
      <c r="O25" s="83"/>
      <c r="P25" s="84"/>
      <c r="Q25" s="82"/>
      <c r="R25" s="82"/>
      <c r="S25" s="83"/>
      <c r="T25" s="84"/>
      <c r="U25" s="83"/>
      <c r="V25" s="84"/>
      <c r="W25" s="85"/>
      <c r="X25" s="193"/>
    </row>
    <row r="26" spans="1:25" x14ac:dyDescent="0.25">
      <c r="A26" s="20" t="s">
        <v>80</v>
      </c>
      <c r="B26" s="84"/>
      <c r="C26" s="83"/>
      <c r="D26" s="84"/>
      <c r="E26" s="84"/>
      <c r="F26" s="83"/>
      <c r="G26" s="84"/>
      <c r="H26" s="82"/>
      <c r="I26" s="83"/>
      <c r="J26" s="84"/>
      <c r="K26" s="82"/>
      <c r="L26" s="83"/>
      <c r="M26" s="84"/>
      <c r="N26" s="82"/>
      <c r="O26" s="83"/>
      <c r="P26" s="84"/>
      <c r="Q26" s="82"/>
      <c r="R26" s="82"/>
      <c r="S26" s="83"/>
      <c r="T26" s="84"/>
      <c r="U26" s="83"/>
      <c r="V26" s="84"/>
      <c r="W26" s="85"/>
      <c r="X26" s="193"/>
      <c r="Y26" s="3" t="s">
        <v>42</v>
      </c>
    </row>
    <row r="27" spans="1:25" x14ac:dyDescent="0.25">
      <c r="A27" s="20" t="s">
        <v>129</v>
      </c>
      <c r="B27" s="84"/>
      <c r="C27" s="83"/>
      <c r="D27" s="84"/>
      <c r="E27" s="84"/>
      <c r="F27" s="83"/>
      <c r="G27" s="84"/>
      <c r="H27" s="82"/>
      <c r="I27" s="83" t="s">
        <v>166</v>
      </c>
      <c r="J27" s="84"/>
      <c r="K27" s="82"/>
      <c r="L27" s="83"/>
      <c r="M27" s="84"/>
      <c r="N27" s="82"/>
      <c r="O27" s="83"/>
      <c r="P27" s="84"/>
      <c r="Q27" s="82"/>
      <c r="R27" s="82"/>
      <c r="S27" s="83"/>
      <c r="T27" s="84"/>
      <c r="U27" s="83"/>
      <c r="V27" s="84"/>
      <c r="W27" s="85"/>
      <c r="X27" s="193"/>
    </row>
    <row r="28" spans="1:25" x14ac:dyDescent="0.25">
      <c r="A28" s="20" t="s">
        <v>167</v>
      </c>
      <c r="B28" s="84">
        <v>14</v>
      </c>
      <c r="C28" s="83">
        <v>14</v>
      </c>
      <c r="D28" s="84">
        <v>0</v>
      </c>
      <c r="E28" s="84">
        <v>14</v>
      </c>
      <c r="F28" s="83">
        <v>14</v>
      </c>
      <c r="G28" s="84">
        <v>14</v>
      </c>
      <c r="H28" s="82">
        <v>14</v>
      </c>
      <c r="I28" s="83">
        <v>14</v>
      </c>
      <c r="J28" s="84">
        <v>14</v>
      </c>
      <c r="K28" s="82">
        <v>14</v>
      </c>
      <c r="L28" s="83">
        <v>14</v>
      </c>
      <c r="M28" s="84">
        <v>14</v>
      </c>
      <c r="N28" s="82">
        <v>14</v>
      </c>
      <c r="O28" s="83">
        <v>14</v>
      </c>
      <c r="P28" s="84">
        <v>0</v>
      </c>
      <c r="Q28" s="82">
        <v>14</v>
      </c>
      <c r="R28" s="82">
        <v>14</v>
      </c>
      <c r="S28" s="83">
        <v>0</v>
      </c>
      <c r="T28" s="84">
        <v>14</v>
      </c>
      <c r="U28" s="83">
        <v>14</v>
      </c>
      <c r="V28" s="84">
        <v>0</v>
      </c>
      <c r="W28" s="85">
        <v>0</v>
      </c>
      <c r="X28" s="193"/>
    </row>
    <row r="29" spans="1:25" x14ac:dyDescent="0.25">
      <c r="A29" s="20" t="s">
        <v>83</v>
      </c>
      <c r="B29" s="84"/>
      <c r="C29" s="83"/>
      <c r="D29" s="84"/>
      <c r="E29" s="84"/>
      <c r="F29" s="83"/>
      <c r="G29" s="93"/>
      <c r="H29" s="82"/>
      <c r="I29" s="83"/>
      <c r="J29" s="84"/>
      <c r="K29" s="82"/>
      <c r="L29" s="83"/>
      <c r="M29" s="84"/>
      <c r="N29" s="82"/>
      <c r="O29" s="83"/>
      <c r="P29" s="84"/>
      <c r="Q29" s="82"/>
      <c r="R29" s="82"/>
      <c r="S29" s="83"/>
      <c r="T29" s="84"/>
      <c r="U29" s="83"/>
      <c r="V29" s="84"/>
      <c r="W29" s="85"/>
      <c r="X29" s="193"/>
    </row>
    <row r="30" spans="1:25" x14ac:dyDescent="0.25">
      <c r="A30" s="20" t="s">
        <v>84</v>
      </c>
      <c r="B30" s="314">
        <v>0</v>
      </c>
      <c r="C30" s="314"/>
      <c r="D30" s="2">
        <v>0</v>
      </c>
      <c r="E30" s="314">
        <v>0</v>
      </c>
      <c r="F30" s="314"/>
      <c r="G30" s="314" t="s">
        <v>37</v>
      </c>
      <c r="H30" s="314"/>
      <c r="I30" s="314"/>
      <c r="J30" s="314"/>
      <c r="K30" s="314"/>
      <c r="L30" s="314"/>
      <c r="M30" s="314">
        <v>20</v>
      </c>
      <c r="N30" s="314"/>
      <c r="O30" s="314"/>
      <c r="P30" s="314">
        <v>7</v>
      </c>
      <c r="Q30" s="314"/>
      <c r="R30" s="314"/>
      <c r="S30" s="314"/>
      <c r="T30" s="314"/>
      <c r="U30" s="314"/>
      <c r="V30" s="315"/>
      <c r="W30" s="315"/>
      <c r="X30" s="193"/>
    </row>
    <row r="31" spans="1:25" x14ac:dyDescent="0.25">
      <c r="A31" s="20" t="s">
        <v>85</v>
      </c>
      <c r="B31" s="314">
        <f>B28+C28-B29-C29-B30</f>
        <v>28</v>
      </c>
      <c r="C31" s="314"/>
      <c r="D31" s="2">
        <f>D28-D29-D30</f>
        <v>0</v>
      </c>
      <c r="E31" s="314">
        <f>E28+F28-E29-F29-E30</f>
        <v>28</v>
      </c>
      <c r="F31" s="314"/>
      <c r="G31" s="314" t="e">
        <f>G28+H28+I28-G29-H29-I29-G30</f>
        <v>#VALUE!</v>
      </c>
      <c r="H31" s="314"/>
      <c r="I31" s="314"/>
      <c r="J31" s="314">
        <f>J28+K28+L28-J29-K29-L29-J30</f>
        <v>42</v>
      </c>
      <c r="K31" s="314"/>
      <c r="L31" s="314"/>
      <c r="M31" s="314">
        <f>M28+N28+O28-M29-N29-O29-M30</f>
        <v>22</v>
      </c>
      <c r="N31" s="314"/>
      <c r="O31" s="314"/>
      <c r="P31" s="314">
        <f>P28+Q28+R28+S28-P29-Q29-R29-S29-P30</f>
        <v>21</v>
      </c>
      <c r="Q31" s="314"/>
      <c r="R31" s="314"/>
      <c r="S31" s="314"/>
      <c r="T31" s="314">
        <f>T28+U28-T29-U29-T30</f>
        <v>28</v>
      </c>
      <c r="U31" s="314"/>
      <c r="V31" s="315">
        <f>V28+W28-V29-W29-V30</f>
        <v>0</v>
      </c>
      <c r="W31" s="315"/>
      <c r="X31" s="193"/>
    </row>
    <row r="32" spans="1:25" x14ac:dyDescent="0.25">
      <c r="A32" s="20" t="s">
        <v>86</v>
      </c>
      <c r="B32" s="314"/>
      <c r="C32" s="314"/>
      <c r="D32" s="2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5"/>
      <c r="W32" s="315"/>
      <c r="X32" s="193"/>
    </row>
    <row r="33" spans="1:24" x14ac:dyDescent="0.25">
      <c r="A33" s="20" t="s">
        <v>130</v>
      </c>
      <c r="B33" s="314" t="s">
        <v>114</v>
      </c>
      <c r="C33" s="314"/>
      <c r="D33" s="2" t="s">
        <v>114</v>
      </c>
      <c r="E33" s="314" t="s">
        <v>114</v>
      </c>
      <c r="F33" s="314"/>
      <c r="G33" s="314"/>
      <c r="H33" s="314"/>
      <c r="I33" s="314"/>
      <c r="J33" s="314"/>
      <c r="K33" s="314"/>
      <c r="L33" s="314"/>
      <c r="M33" s="314" t="s">
        <v>147</v>
      </c>
      <c r="N33" s="314"/>
      <c r="O33" s="314"/>
      <c r="P33" s="316"/>
      <c r="Q33" s="316"/>
      <c r="R33" s="316"/>
      <c r="S33" s="316"/>
      <c r="T33" s="314"/>
      <c r="U33" s="314"/>
      <c r="V33" s="315" t="s">
        <v>114</v>
      </c>
      <c r="W33" s="315"/>
      <c r="X33" s="193"/>
    </row>
    <row r="34" spans="1:24" s="118" customFormat="1" x14ac:dyDescent="0.25">
      <c r="A34" s="194"/>
      <c r="B34" s="195"/>
      <c r="C34" s="196"/>
      <c r="D34" s="195"/>
      <c r="E34" s="195"/>
      <c r="F34" s="196"/>
      <c r="G34" s="195"/>
      <c r="H34" s="197"/>
      <c r="I34" s="196"/>
      <c r="J34" s="195"/>
      <c r="K34" s="197"/>
      <c r="L34" s="196"/>
      <c r="M34" s="195"/>
      <c r="N34" s="197"/>
      <c r="O34" s="196"/>
      <c r="P34" s="195"/>
      <c r="Q34" s="197"/>
      <c r="R34" s="197"/>
      <c r="S34" s="196"/>
      <c r="T34" s="195"/>
      <c r="U34" s="196"/>
      <c r="V34" s="197"/>
      <c r="W34" s="198"/>
      <c r="X34" s="199"/>
    </row>
    <row r="35" spans="1:24" s="64" customFormat="1" x14ac:dyDescent="0.25">
      <c r="A35" s="62" t="s">
        <v>91</v>
      </c>
      <c r="B35" s="52"/>
      <c r="C35" s="119"/>
      <c r="D35" s="52"/>
      <c r="E35" s="52"/>
      <c r="F35" s="119"/>
      <c r="G35" s="52"/>
      <c r="I35" s="119"/>
      <c r="J35" s="52"/>
      <c r="L35" s="119"/>
      <c r="M35" s="52"/>
      <c r="O35" s="119"/>
      <c r="P35" s="52"/>
      <c r="S35" s="119"/>
      <c r="T35" s="52"/>
      <c r="U35" s="119"/>
      <c r="V35" s="52"/>
      <c r="X35" s="200"/>
    </row>
    <row r="36" spans="1:24" s="121" customFormat="1" x14ac:dyDescent="0.25">
      <c r="A36" s="86" t="s">
        <v>93</v>
      </c>
      <c r="B36" s="90"/>
      <c r="C36" s="120"/>
      <c r="D36" s="90"/>
      <c r="E36" s="90"/>
      <c r="F36" s="120"/>
      <c r="G36" s="90"/>
      <c r="I36" s="120"/>
      <c r="J36" s="90"/>
      <c r="L36" s="120"/>
      <c r="M36" s="90"/>
      <c r="O36" s="120"/>
      <c r="P36" s="90"/>
      <c r="S36" s="120"/>
      <c r="T36" s="90"/>
      <c r="U36" s="120"/>
      <c r="V36" s="90"/>
      <c r="X36" s="201"/>
    </row>
    <row r="37" spans="1:24" s="122" customFormat="1" x14ac:dyDescent="0.25">
      <c r="A37" s="81" t="s">
        <v>94</v>
      </c>
      <c r="B37" s="78"/>
      <c r="C37" s="175"/>
      <c r="D37" s="78"/>
      <c r="E37" s="78"/>
      <c r="F37" s="175"/>
      <c r="G37" s="78"/>
      <c r="I37" s="175"/>
      <c r="J37" s="78"/>
      <c r="L37" s="175"/>
      <c r="M37" s="78"/>
      <c r="O37" s="175"/>
      <c r="P37" s="78"/>
      <c r="S37" s="175"/>
      <c r="T37" s="78"/>
      <c r="U37" s="175"/>
      <c r="V37" s="78"/>
      <c r="X37" s="202"/>
    </row>
    <row r="38" spans="1:24" s="58" customFormat="1" x14ac:dyDescent="0.25">
      <c r="A38" s="70" t="s">
        <v>95</v>
      </c>
      <c r="B38" s="57"/>
      <c r="C38" s="123"/>
      <c r="D38" s="57"/>
      <c r="E38" s="57"/>
      <c r="F38" s="123"/>
      <c r="G38" s="57"/>
      <c r="I38" s="123"/>
      <c r="J38" s="57"/>
      <c r="L38" s="123"/>
      <c r="M38" s="57"/>
      <c r="O38" s="123"/>
      <c r="P38" s="57"/>
      <c r="S38" s="123"/>
      <c r="T38" s="57"/>
      <c r="U38" s="123"/>
      <c r="V38" s="57"/>
      <c r="X38" s="192"/>
    </row>
    <row r="39" spans="1:24" s="126" customFormat="1" x14ac:dyDescent="0.25">
      <c r="A39" s="124" t="s">
        <v>96</v>
      </c>
      <c r="B39" s="125"/>
      <c r="C39" s="176"/>
      <c r="D39" s="125"/>
      <c r="E39" s="125"/>
      <c r="F39" s="176"/>
      <c r="G39" s="125"/>
      <c r="I39" s="176"/>
      <c r="J39" s="125"/>
      <c r="L39" s="176"/>
      <c r="M39" s="125"/>
      <c r="O39" s="176"/>
      <c r="P39" s="125"/>
      <c r="S39" s="176"/>
      <c r="T39" s="125"/>
      <c r="U39" s="176"/>
      <c r="V39" s="125"/>
      <c r="X39" s="203"/>
    </row>
    <row r="40" spans="1:24" s="132" customFormat="1" x14ac:dyDescent="0.25">
      <c r="A40" s="128" t="s">
        <v>97</v>
      </c>
      <c r="B40" s="178"/>
      <c r="C40" s="179"/>
      <c r="D40" s="178"/>
      <c r="E40" s="178"/>
      <c r="F40" s="179"/>
      <c r="G40" s="178"/>
      <c r="I40" s="179"/>
      <c r="J40" s="178"/>
      <c r="L40" s="179"/>
      <c r="M40" s="178"/>
      <c r="O40" s="179"/>
      <c r="P40" s="178"/>
      <c r="S40" s="179"/>
      <c r="T40" s="178"/>
      <c r="U40" s="179"/>
      <c r="V40" s="178"/>
      <c r="X40" s="204"/>
    </row>
  </sheetData>
  <mergeCells count="32">
    <mergeCell ref="P30:S30"/>
    <mergeCell ref="T30:U30"/>
    <mergeCell ref="V30:W30"/>
    <mergeCell ref="B31:C31"/>
    <mergeCell ref="E31:F31"/>
    <mergeCell ref="G31:I31"/>
    <mergeCell ref="J31:L31"/>
    <mergeCell ref="M31:O31"/>
    <mergeCell ref="P31:S31"/>
    <mergeCell ref="T31:U31"/>
    <mergeCell ref="V31:W31"/>
    <mergeCell ref="B30:C30"/>
    <mergeCell ref="E30:F30"/>
    <mergeCell ref="G30:I30"/>
    <mergeCell ref="J30:L30"/>
    <mergeCell ref="M30:O30"/>
    <mergeCell ref="P32:S32"/>
    <mergeCell ref="T32:U32"/>
    <mergeCell ref="V32:W32"/>
    <mergeCell ref="B33:C33"/>
    <mergeCell ref="E33:F33"/>
    <mergeCell ref="G33:I33"/>
    <mergeCell ref="J33:L33"/>
    <mergeCell ref="M33:O33"/>
    <mergeCell ref="P33:S33"/>
    <mergeCell ref="T33:U33"/>
    <mergeCell ref="V33:W33"/>
    <mergeCell ref="B32:C32"/>
    <mergeCell ref="E32:F32"/>
    <mergeCell ref="G32:I32"/>
    <mergeCell ref="J32:L32"/>
    <mergeCell ref="M32:O32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40"/>
  <sheetViews>
    <sheetView zoomScaleNormal="100" workbookViewId="0">
      <selection activeCell="J21" sqref="J21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4" customWidth="1"/>
    <col min="11" max="11" width="7.28515625" style="3" customWidth="1"/>
    <col min="12" max="12" width="7.28515625" style="5" customWidth="1"/>
    <col min="13" max="13" width="7.28515625" style="4" customWidth="1"/>
    <col min="14" max="14" width="7.28515625" style="3" customWidth="1"/>
    <col min="15" max="15" width="7.28515625" style="5" customWidth="1"/>
    <col min="16" max="16" width="7.28515625" style="4" customWidth="1"/>
    <col min="17" max="18" width="7.28515625" style="3" customWidth="1"/>
    <col min="19" max="19" width="7.28515625" style="5" customWidth="1"/>
    <col min="20" max="20" width="7.28515625" style="4" customWidth="1"/>
    <col min="21" max="21" width="7.28515625" style="5" customWidth="1"/>
    <col min="22" max="22" width="7.28515625" style="4" customWidth="1"/>
    <col min="23" max="23" width="7.28515625" style="3" customWidth="1"/>
    <col min="24" max="24" width="8.85546875" style="164"/>
    <col min="25" max="1024" width="8.85546875" style="3"/>
  </cols>
  <sheetData>
    <row r="1" spans="1:25" s="19" customFormat="1" x14ac:dyDescent="0.25">
      <c r="A1" s="7"/>
      <c r="B1" s="181" t="s">
        <v>0</v>
      </c>
      <c r="C1" s="182" t="s">
        <v>1</v>
      </c>
      <c r="D1" s="181" t="s">
        <v>99</v>
      </c>
      <c r="E1" s="181" t="s">
        <v>2</v>
      </c>
      <c r="F1" s="182" t="s">
        <v>3</v>
      </c>
      <c r="G1" s="181" t="s">
        <v>4</v>
      </c>
      <c r="H1" s="183" t="s">
        <v>5</v>
      </c>
      <c r="I1" s="182" t="s">
        <v>6</v>
      </c>
      <c r="J1" s="181" t="s">
        <v>7</v>
      </c>
      <c r="K1" s="183" t="s">
        <v>8</v>
      </c>
      <c r="L1" s="182" t="s">
        <v>9</v>
      </c>
      <c r="M1" s="181" t="s">
        <v>10</v>
      </c>
      <c r="N1" s="183" t="s">
        <v>11</v>
      </c>
      <c r="O1" s="182" t="s">
        <v>13</v>
      </c>
      <c r="P1" s="181" t="s">
        <v>14</v>
      </c>
      <c r="Q1" s="183" t="s">
        <v>15</v>
      </c>
      <c r="R1" s="183" t="s">
        <v>16</v>
      </c>
      <c r="S1" s="182" t="s">
        <v>101</v>
      </c>
      <c r="T1" s="181" t="s">
        <v>19</v>
      </c>
      <c r="U1" s="182" t="s">
        <v>20</v>
      </c>
      <c r="V1" s="181" t="s">
        <v>21</v>
      </c>
      <c r="W1" s="184" t="s">
        <v>102</v>
      </c>
      <c r="X1" s="185" t="s">
        <v>131</v>
      </c>
    </row>
    <row r="2" spans="1:25" x14ac:dyDescent="0.25">
      <c r="A2" s="20" t="s">
        <v>24</v>
      </c>
      <c r="B2" s="186"/>
      <c r="C2" s="168"/>
      <c r="D2" s="186"/>
      <c r="E2" s="186"/>
      <c r="F2" s="168"/>
      <c r="G2" s="186"/>
      <c r="H2" s="187"/>
      <c r="I2" s="168"/>
      <c r="J2" s="186"/>
      <c r="K2" s="187"/>
      <c r="L2" s="168"/>
      <c r="M2" s="186"/>
      <c r="N2" s="187"/>
      <c r="O2" s="168"/>
      <c r="P2" s="186"/>
      <c r="Q2" s="187"/>
      <c r="R2" s="187"/>
      <c r="S2" s="168"/>
      <c r="T2" s="186"/>
      <c r="U2" s="168"/>
      <c r="V2" s="186" t="s">
        <v>148</v>
      </c>
      <c r="W2" s="20" t="s">
        <v>148</v>
      </c>
      <c r="X2" s="188" t="s">
        <v>148</v>
      </c>
    </row>
    <row r="3" spans="1:25" s="38" customFormat="1" x14ac:dyDescent="0.25">
      <c r="A3" s="29" t="s">
        <v>25</v>
      </c>
      <c r="B3" s="158"/>
      <c r="C3" s="158"/>
      <c r="D3" s="158"/>
      <c r="E3" s="158"/>
      <c r="F3" s="158"/>
      <c r="G3" s="158" t="s">
        <v>149</v>
      </c>
      <c r="H3" s="158" t="s">
        <v>149</v>
      </c>
      <c r="I3" s="158" t="s">
        <v>149</v>
      </c>
      <c r="J3" s="158"/>
      <c r="K3" s="158"/>
      <c r="L3" s="158"/>
      <c r="M3" s="158"/>
      <c r="N3" s="158"/>
      <c r="O3" s="37"/>
      <c r="P3" s="37"/>
      <c r="Q3" s="37"/>
      <c r="R3" s="37"/>
      <c r="S3" s="37"/>
      <c r="T3" s="37"/>
      <c r="U3" s="37"/>
      <c r="V3" s="37"/>
      <c r="W3" s="29"/>
      <c r="X3" s="189"/>
    </row>
    <row r="4" spans="1:25" s="38" customFormat="1" x14ac:dyDescent="0.25">
      <c r="A4" s="29" t="s">
        <v>31</v>
      </c>
      <c r="B4" s="158" t="s">
        <v>133</v>
      </c>
      <c r="C4" s="158" t="s">
        <v>133</v>
      </c>
      <c r="D4" s="158" t="s">
        <v>133</v>
      </c>
      <c r="E4" s="158" t="s">
        <v>133</v>
      </c>
      <c r="F4" s="158" t="s">
        <v>133</v>
      </c>
      <c r="G4" s="158" t="s">
        <v>133</v>
      </c>
      <c r="H4" s="158" t="s">
        <v>133</v>
      </c>
      <c r="I4" s="158" t="s">
        <v>133</v>
      </c>
      <c r="J4" s="37" t="s">
        <v>133</v>
      </c>
      <c r="K4" s="37" t="s">
        <v>133</v>
      </c>
      <c r="L4" s="37" t="s">
        <v>133</v>
      </c>
      <c r="M4" s="158" t="s">
        <v>133</v>
      </c>
      <c r="N4" s="158" t="s">
        <v>133</v>
      </c>
      <c r="O4" s="37" t="s">
        <v>133</v>
      </c>
      <c r="P4" s="37" t="s">
        <v>133</v>
      </c>
      <c r="Q4" s="37" t="s">
        <v>133</v>
      </c>
      <c r="R4" s="37" t="s">
        <v>133</v>
      </c>
      <c r="S4" s="37" t="s">
        <v>133</v>
      </c>
      <c r="T4" s="158" t="s">
        <v>133</v>
      </c>
      <c r="U4" s="158" t="s">
        <v>133</v>
      </c>
      <c r="V4" s="158" t="s">
        <v>133</v>
      </c>
      <c r="W4" s="157" t="s">
        <v>133</v>
      </c>
      <c r="X4" s="189"/>
    </row>
    <row r="5" spans="1:25" x14ac:dyDescent="0.25">
      <c r="A5" s="20" t="s">
        <v>38</v>
      </c>
      <c r="B5" s="61">
        <v>2016</v>
      </c>
      <c r="C5" s="50">
        <v>2016</v>
      </c>
      <c r="D5" s="61">
        <v>2016</v>
      </c>
      <c r="E5" s="61">
        <v>2017</v>
      </c>
      <c r="F5" s="50">
        <v>2017</v>
      </c>
      <c r="G5" s="61">
        <v>2009</v>
      </c>
      <c r="H5" s="53">
        <v>2016</v>
      </c>
      <c r="I5" s="50">
        <v>2013</v>
      </c>
      <c r="J5" s="59" t="s">
        <v>136</v>
      </c>
      <c r="K5" s="53">
        <v>2017</v>
      </c>
      <c r="L5" s="50">
        <v>2015</v>
      </c>
      <c r="M5" s="61">
        <v>2017</v>
      </c>
      <c r="N5" s="53">
        <v>2015</v>
      </c>
      <c r="O5" s="50">
        <v>2014</v>
      </c>
      <c r="P5" s="61">
        <v>2011</v>
      </c>
      <c r="Q5" s="71">
        <v>2008</v>
      </c>
      <c r="R5" s="53">
        <v>2014</v>
      </c>
      <c r="S5" s="50">
        <v>2015</v>
      </c>
      <c r="T5" s="61">
        <v>2015</v>
      </c>
      <c r="U5" s="60">
        <v>2009</v>
      </c>
      <c r="V5" s="61">
        <v>2016</v>
      </c>
      <c r="W5" s="62">
        <v>2016</v>
      </c>
      <c r="X5" s="190">
        <v>2017</v>
      </c>
    </row>
    <row r="6" spans="1:25" x14ac:dyDescent="0.25">
      <c r="A6" s="20" t="s">
        <v>39</v>
      </c>
      <c r="B6" s="84"/>
      <c r="C6" s="83"/>
      <c r="D6" s="84"/>
      <c r="E6" s="61"/>
      <c r="F6" s="50"/>
      <c r="G6" s="84"/>
      <c r="H6" s="82"/>
      <c r="I6" s="83"/>
      <c r="J6" s="61" t="s">
        <v>150</v>
      </c>
      <c r="K6" s="53" t="s">
        <v>150</v>
      </c>
      <c r="L6" s="50" t="s">
        <v>150</v>
      </c>
      <c r="M6" s="61" t="s">
        <v>150</v>
      </c>
      <c r="N6" s="53" t="s">
        <v>150</v>
      </c>
      <c r="O6" s="50" t="s">
        <v>150</v>
      </c>
      <c r="P6" s="84"/>
      <c r="Q6" s="82"/>
      <c r="R6" s="82"/>
      <c r="S6" s="83"/>
      <c r="T6" s="84"/>
      <c r="U6" s="83"/>
      <c r="V6" s="84"/>
      <c r="W6" s="85"/>
      <c r="X6" s="190"/>
      <c r="Y6" s="3" t="s">
        <v>40</v>
      </c>
    </row>
    <row r="7" spans="1:25" x14ac:dyDescent="0.25">
      <c r="A7" s="20" t="s">
        <v>41</v>
      </c>
      <c r="B7" s="61"/>
      <c r="C7" s="50"/>
      <c r="D7" s="61"/>
      <c r="E7" s="61"/>
      <c r="F7" s="50"/>
      <c r="G7" s="61"/>
      <c r="H7" s="53"/>
      <c r="I7" s="50"/>
      <c r="J7" s="61"/>
      <c r="K7" s="53"/>
      <c r="L7" s="50"/>
      <c r="M7" s="61"/>
      <c r="N7" s="53"/>
      <c r="O7" s="50"/>
      <c r="P7" s="61"/>
      <c r="Q7" s="53"/>
      <c r="R7" s="53"/>
      <c r="S7" s="50"/>
      <c r="T7" s="61"/>
      <c r="U7" s="50"/>
      <c r="V7" s="61"/>
      <c r="W7" s="62"/>
      <c r="X7" s="190"/>
      <c r="Y7" s="3" t="s">
        <v>42</v>
      </c>
    </row>
    <row r="8" spans="1:25" x14ac:dyDescent="0.25">
      <c r="A8" s="20" t="s">
        <v>43</v>
      </c>
      <c r="B8" s="61"/>
      <c r="C8" s="50"/>
      <c r="D8" s="61"/>
      <c r="E8" s="61"/>
      <c r="F8" s="50"/>
      <c r="G8" s="61"/>
      <c r="H8" s="53"/>
      <c r="I8" s="50"/>
      <c r="J8" s="61"/>
      <c r="K8" s="53"/>
      <c r="L8" s="50"/>
      <c r="M8" s="61"/>
      <c r="N8" s="53"/>
      <c r="O8" s="50"/>
      <c r="P8" s="61"/>
      <c r="Q8" s="53"/>
      <c r="R8" s="53"/>
      <c r="S8" s="50"/>
      <c r="T8" s="61"/>
      <c r="U8" s="50"/>
      <c r="V8" s="61"/>
      <c r="W8" s="62"/>
      <c r="X8" s="190"/>
      <c r="Y8" s="3" t="s">
        <v>42</v>
      </c>
    </row>
    <row r="9" spans="1:25" x14ac:dyDescent="0.25">
      <c r="A9" s="20" t="s">
        <v>44</v>
      </c>
      <c r="B9" s="59"/>
      <c r="C9" s="60"/>
      <c r="D9" s="59"/>
      <c r="E9" s="59"/>
      <c r="F9" s="60"/>
      <c r="G9" s="59"/>
      <c r="H9" s="71"/>
      <c r="I9" s="60"/>
      <c r="J9" s="59"/>
      <c r="K9" s="71"/>
      <c r="L9" s="191"/>
      <c r="M9" s="59"/>
      <c r="N9" s="71"/>
      <c r="O9" s="60"/>
      <c r="P9" s="59"/>
      <c r="Q9" s="71"/>
      <c r="R9" s="71"/>
      <c r="S9" s="60"/>
      <c r="T9" s="59"/>
      <c r="U9" s="60"/>
      <c r="V9" s="59"/>
      <c r="W9" s="70"/>
      <c r="X9" s="192"/>
      <c r="Y9" s="3" t="s">
        <v>45</v>
      </c>
    </row>
    <row r="10" spans="1:25" x14ac:dyDescent="0.25">
      <c r="A10" s="20" t="s">
        <v>46</v>
      </c>
      <c r="B10" s="61">
        <v>2016</v>
      </c>
      <c r="C10" s="50">
        <v>2016</v>
      </c>
      <c r="D10" s="61">
        <v>2016</v>
      </c>
      <c r="E10" s="61">
        <v>2017</v>
      </c>
      <c r="F10" s="50">
        <v>2017</v>
      </c>
      <c r="G10" s="61">
        <v>2015</v>
      </c>
      <c r="H10" s="53">
        <v>2017</v>
      </c>
      <c r="I10" s="50">
        <v>2013</v>
      </c>
      <c r="J10" s="59">
        <v>2010</v>
      </c>
      <c r="K10" s="53">
        <v>2016</v>
      </c>
      <c r="L10" s="50">
        <v>2015</v>
      </c>
      <c r="M10" s="61">
        <v>2019</v>
      </c>
      <c r="N10" s="53">
        <v>2019</v>
      </c>
      <c r="O10" s="74">
        <v>2014</v>
      </c>
      <c r="P10" s="61">
        <v>2017</v>
      </c>
      <c r="Q10" s="53">
        <v>2017</v>
      </c>
      <c r="R10" s="71" t="s">
        <v>151</v>
      </c>
      <c r="S10" s="50">
        <v>2015</v>
      </c>
      <c r="T10" s="59">
        <v>2011</v>
      </c>
      <c r="U10" s="50">
        <v>2017</v>
      </c>
      <c r="V10" s="61">
        <v>2014</v>
      </c>
      <c r="W10" s="62">
        <v>2016</v>
      </c>
      <c r="X10" s="190">
        <v>2017</v>
      </c>
      <c r="Y10" s="3" t="s">
        <v>47</v>
      </c>
    </row>
    <row r="11" spans="1:25" x14ac:dyDescent="0.25">
      <c r="A11" s="20" t="s">
        <v>50</v>
      </c>
      <c r="B11" s="61">
        <v>2016</v>
      </c>
      <c r="C11" s="50">
        <v>2016</v>
      </c>
      <c r="D11" s="61">
        <v>2016</v>
      </c>
      <c r="E11" s="61">
        <v>2017</v>
      </c>
      <c r="F11" s="50">
        <v>2017</v>
      </c>
      <c r="G11" s="61">
        <v>2015</v>
      </c>
      <c r="H11" s="53">
        <v>2016</v>
      </c>
      <c r="I11" s="60">
        <v>2013</v>
      </c>
      <c r="J11" s="59">
        <v>2013</v>
      </c>
      <c r="K11" s="53">
        <v>2016</v>
      </c>
      <c r="L11" s="60">
        <v>2012</v>
      </c>
      <c r="M11" s="61">
        <v>2017</v>
      </c>
      <c r="N11" s="53">
        <v>2018</v>
      </c>
      <c r="O11" s="50">
        <v>2014</v>
      </c>
      <c r="P11" s="61">
        <v>2017</v>
      </c>
      <c r="Q11" s="53">
        <v>2017</v>
      </c>
      <c r="R11" s="71">
        <v>2012</v>
      </c>
      <c r="S11" s="50">
        <v>2015</v>
      </c>
      <c r="T11" s="61">
        <v>2017</v>
      </c>
      <c r="U11" s="50">
        <v>2015</v>
      </c>
      <c r="V11" s="59">
        <v>2016</v>
      </c>
      <c r="W11" s="62">
        <v>2016</v>
      </c>
      <c r="X11" s="190">
        <v>2017</v>
      </c>
      <c r="Y11" s="3" t="s">
        <v>51</v>
      </c>
    </row>
    <row r="12" spans="1:25" x14ac:dyDescent="0.25">
      <c r="A12" s="20" t="s">
        <v>52</v>
      </c>
      <c r="B12" s="61">
        <v>2016</v>
      </c>
      <c r="C12" s="50">
        <v>2016</v>
      </c>
      <c r="D12" s="61">
        <v>2016</v>
      </c>
      <c r="E12" s="61">
        <v>2017</v>
      </c>
      <c r="F12" s="50">
        <v>2017</v>
      </c>
      <c r="G12" s="80">
        <v>2015</v>
      </c>
      <c r="H12" s="53">
        <v>2017</v>
      </c>
      <c r="I12" s="50">
        <v>2017</v>
      </c>
      <c r="J12" s="61">
        <v>2016</v>
      </c>
      <c r="K12" s="53">
        <v>2016</v>
      </c>
      <c r="L12" s="60" t="s">
        <v>152</v>
      </c>
      <c r="M12" s="61">
        <v>2017</v>
      </c>
      <c r="N12" s="53">
        <v>2019</v>
      </c>
      <c r="O12" s="50">
        <v>2018</v>
      </c>
      <c r="P12" s="61">
        <v>2017</v>
      </c>
      <c r="Q12" s="53">
        <v>2017</v>
      </c>
      <c r="R12" s="71">
        <v>2012</v>
      </c>
      <c r="S12" s="50">
        <v>2015</v>
      </c>
      <c r="T12" s="61">
        <v>2017</v>
      </c>
      <c r="U12" s="50">
        <v>2015</v>
      </c>
      <c r="V12" s="61">
        <v>2016</v>
      </c>
      <c r="W12" s="62">
        <v>2016</v>
      </c>
      <c r="X12" s="190">
        <v>2017</v>
      </c>
      <c r="Y12" s="3" t="s">
        <v>51</v>
      </c>
    </row>
    <row r="13" spans="1:25" x14ac:dyDescent="0.25">
      <c r="A13" s="20" t="s">
        <v>54</v>
      </c>
      <c r="B13" s="59"/>
      <c r="C13" s="60"/>
      <c r="D13" s="59"/>
      <c r="E13" s="59"/>
      <c r="F13" s="60"/>
      <c r="G13" s="59"/>
      <c r="H13" s="71"/>
      <c r="I13" s="60"/>
      <c r="J13" s="59"/>
      <c r="K13" s="71"/>
      <c r="L13" s="60"/>
      <c r="M13" s="59"/>
      <c r="N13" s="71"/>
      <c r="O13" s="60"/>
      <c r="P13" s="59"/>
      <c r="Q13" s="71"/>
      <c r="R13" s="71"/>
      <c r="S13" s="60"/>
      <c r="T13" s="59"/>
      <c r="U13" s="60"/>
      <c r="V13" s="59"/>
      <c r="W13" s="70"/>
      <c r="X13" s="192"/>
      <c r="Y13" s="3" t="s">
        <v>55</v>
      </c>
    </row>
    <row r="14" spans="1:25" x14ac:dyDescent="0.25">
      <c r="A14" s="20" t="s">
        <v>56</v>
      </c>
      <c r="B14" s="59"/>
      <c r="C14" s="60"/>
      <c r="D14" s="84"/>
      <c r="E14" s="59"/>
      <c r="F14" s="60"/>
      <c r="G14" s="80"/>
      <c r="H14" s="71"/>
      <c r="I14" s="60"/>
      <c r="J14" s="59"/>
      <c r="K14" s="71"/>
      <c r="L14" s="60"/>
      <c r="M14" s="59"/>
      <c r="N14" s="71"/>
      <c r="O14" s="191"/>
      <c r="P14" s="84"/>
      <c r="Q14" s="71"/>
      <c r="R14" s="65"/>
      <c r="S14" s="60"/>
      <c r="T14" s="59"/>
      <c r="U14" s="60"/>
      <c r="V14" s="59"/>
      <c r="W14" s="70"/>
      <c r="X14" s="192" t="s">
        <v>137</v>
      </c>
      <c r="Y14" s="3" t="s">
        <v>55</v>
      </c>
    </row>
    <row r="15" spans="1:25" x14ac:dyDescent="0.25">
      <c r="A15" s="20" t="s">
        <v>57</v>
      </c>
      <c r="B15" s="61" t="s">
        <v>153</v>
      </c>
      <c r="C15" s="74" t="s">
        <v>154</v>
      </c>
      <c r="D15" s="84"/>
      <c r="E15" s="61"/>
      <c r="F15" s="50"/>
      <c r="G15" s="59" t="s">
        <v>155</v>
      </c>
      <c r="H15" s="151" t="s">
        <v>156</v>
      </c>
      <c r="I15" s="60" t="s">
        <v>157</v>
      </c>
      <c r="J15" s="59" t="s">
        <v>158</v>
      </c>
      <c r="K15" s="53" t="s">
        <v>159</v>
      </c>
      <c r="L15" s="50" t="s">
        <v>160</v>
      </c>
      <c r="M15" s="61" t="s">
        <v>161</v>
      </c>
      <c r="N15" s="53" t="s">
        <v>161</v>
      </c>
      <c r="O15" s="50" t="s">
        <v>162</v>
      </c>
      <c r="P15" s="84"/>
      <c r="Q15" s="53"/>
      <c r="R15" s="71" t="s">
        <v>163</v>
      </c>
      <c r="S15" s="83"/>
      <c r="T15" s="61" t="s">
        <v>125</v>
      </c>
      <c r="U15" s="50" t="s">
        <v>164</v>
      </c>
      <c r="V15" s="61"/>
      <c r="W15" s="62"/>
      <c r="X15" s="193"/>
      <c r="Y15" s="3" t="s">
        <v>67</v>
      </c>
    </row>
    <row r="16" spans="1:25" x14ac:dyDescent="0.25">
      <c r="A16" s="20" t="s">
        <v>69</v>
      </c>
      <c r="B16" s="59"/>
      <c r="C16" s="60"/>
      <c r="D16" s="84"/>
      <c r="E16" s="61"/>
      <c r="F16" s="50"/>
      <c r="G16" s="80"/>
      <c r="H16" s="53"/>
      <c r="I16" s="50"/>
      <c r="J16" s="59"/>
      <c r="K16" s="65"/>
      <c r="L16" s="60"/>
      <c r="M16" s="61"/>
      <c r="N16" s="71"/>
      <c r="O16" s="75"/>
      <c r="P16" s="84"/>
      <c r="Q16" s="71"/>
      <c r="R16" s="71"/>
      <c r="S16" s="60"/>
      <c r="T16" s="59"/>
      <c r="U16" s="60"/>
      <c r="V16" s="61">
        <v>2016</v>
      </c>
      <c r="W16" s="62">
        <v>2014</v>
      </c>
      <c r="X16" s="190"/>
      <c r="Y16" s="3" t="s">
        <v>70</v>
      </c>
    </row>
    <row r="17" spans="1:25" x14ac:dyDescent="0.25">
      <c r="A17" s="20" t="s">
        <v>145</v>
      </c>
      <c r="B17" s="61"/>
      <c r="C17" s="50"/>
      <c r="D17" s="61"/>
      <c r="E17" s="61"/>
      <c r="F17" s="50"/>
      <c r="G17" s="61"/>
      <c r="H17" s="53"/>
      <c r="I17" s="50"/>
      <c r="J17" s="180"/>
      <c r="K17" s="127"/>
      <c r="L17" s="75"/>
      <c r="M17" s="61"/>
      <c r="N17" s="53"/>
      <c r="O17" s="50"/>
      <c r="P17" s="84"/>
      <c r="Q17" s="53"/>
      <c r="R17" s="53"/>
      <c r="S17" s="50"/>
      <c r="T17" s="61"/>
      <c r="U17" s="50"/>
      <c r="V17" s="61"/>
      <c r="W17" s="62"/>
      <c r="X17" s="190"/>
      <c r="Y17" s="3" t="s">
        <v>42</v>
      </c>
    </row>
    <row r="18" spans="1:25" x14ac:dyDescent="0.25">
      <c r="A18" s="20" t="s">
        <v>71</v>
      </c>
      <c r="B18" s="61"/>
      <c r="C18" s="50"/>
      <c r="D18" s="61"/>
      <c r="E18" s="61"/>
      <c r="F18" s="50"/>
      <c r="G18" s="61"/>
      <c r="H18" s="53"/>
      <c r="I18" s="50"/>
      <c r="J18" s="61"/>
      <c r="K18" s="53"/>
      <c r="L18" s="50"/>
      <c r="M18" s="61"/>
      <c r="N18" s="53"/>
      <c r="O18" s="50"/>
      <c r="P18" s="84"/>
      <c r="Q18" s="53"/>
      <c r="R18" s="53"/>
      <c r="S18" s="50"/>
      <c r="T18" s="61"/>
      <c r="U18" s="50"/>
      <c r="V18" s="61"/>
      <c r="W18" s="62"/>
      <c r="X18" s="190"/>
      <c r="Y18" s="3" t="s">
        <v>42</v>
      </c>
    </row>
    <row r="19" spans="1:25" x14ac:dyDescent="0.25">
      <c r="A19" s="20" t="s">
        <v>72</v>
      </c>
      <c r="B19" s="61"/>
      <c r="C19" s="50"/>
      <c r="D19" s="61"/>
      <c r="E19" s="61"/>
      <c r="F19" s="50"/>
      <c r="G19" s="61"/>
      <c r="H19" s="53"/>
      <c r="I19" s="50"/>
      <c r="J19" s="61"/>
      <c r="K19" s="53"/>
      <c r="L19" s="50"/>
      <c r="M19" s="61"/>
      <c r="N19" s="53"/>
      <c r="O19" s="50"/>
      <c r="P19" s="61"/>
      <c r="Q19" s="53"/>
      <c r="R19" s="53"/>
      <c r="S19" s="50"/>
      <c r="T19" s="61"/>
      <c r="U19" s="50"/>
      <c r="V19" s="61"/>
      <c r="W19" s="62"/>
      <c r="X19" s="190"/>
      <c r="Y19" s="3" t="s">
        <v>42</v>
      </c>
    </row>
    <row r="20" spans="1:25" x14ac:dyDescent="0.25">
      <c r="A20" s="20" t="s">
        <v>73</v>
      </c>
      <c r="B20" s="61"/>
      <c r="C20" s="50"/>
      <c r="D20" s="61"/>
      <c r="E20" s="61"/>
      <c r="F20" s="50"/>
      <c r="G20" s="61"/>
      <c r="H20" s="53"/>
      <c r="I20" s="50"/>
      <c r="J20" s="61"/>
      <c r="K20" s="65"/>
      <c r="L20" s="50"/>
      <c r="M20" s="80"/>
      <c r="N20" s="53"/>
      <c r="O20" s="50"/>
      <c r="P20" s="61"/>
      <c r="Q20" s="53"/>
      <c r="R20" s="53"/>
      <c r="S20" s="50"/>
      <c r="T20" s="61"/>
      <c r="U20" s="50"/>
      <c r="V20" s="61"/>
      <c r="W20" s="62"/>
      <c r="X20" s="190"/>
      <c r="Y20" s="3" t="s">
        <v>42</v>
      </c>
    </row>
    <row r="21" spans="1:25" x14ac:dyDescent="0.25">
      <c r="A21" s="20" t="s">
        <v>74</v>
      </c>
      <c r="B21" s="61"/>
      <c r="C21" s="50"/>
      <c r="D21" s="61"/>
      <c r="E21" s="61"/>
      <c r="F21" s="50"/>
      <c r="G21" s="61"/>
      <c r="H21" s="53"/>
      <c r="I21" s="50"/>
      <c r="J21" s="61"/>
      <c r="K21" s="53"/>
      <c r="L21" s="50"/>
      <c r="M21" s="61"/>
      <c r="N21" s="53"/>
      <c r="O21" s="50"/>
      <c r="P21" s="61"/>
      <c r="Q21" s="53"/>
      <c r="R21" s="53"/>
      <c r="S21" s="50"/>
      <c r="T21" s="61"/>
      <c r="U21" s="50"/>
      <c r="V21" s="61"/>
      <c r="W21" s="62"/>
      <c r="X21" s="190"/>
      <c r="Y21" s="3" t="s">
        <v>42</v>
      </c>
    </row>
    <row r="22" spans="1:25" x14ac:dyDescent="0.25">
      <c r="A22" s="20" t="s">
        <v>75</v>
      </c>
      <c r="B22" s="61">
        <v>2016</v>
      </c>
      <c r="C22" s="50">
        <v>2016</v>
      </c>
      <c r="D22" s="61">
        <v>2016</v>
      </c>
      <c r="E22" s="61">
        <v>2017</v>
      </c>
      <c r="F22" s="50">
        <v>2017</v>
      </c>
      <c r="G22" s="61">
        <v>2016</v>
      </c>
      <c r="H22" s="53">
        <v>2017</v>
      </c>
      <c r="I22" s="50">
        <v>2017</v>
      </c>
      <c r="J22" s="59" t="s">
        <v>165</v>
      </c>
      <c r="K22" s="53">
        <v>2016</v>
      </c>
      <c r="L22" s="50">
        <v>2015</v>
      </c>
      <c r="M22" s="61">
        <v>2017</v>
      </c>
      <c r="N22" s="53">
        <v>2015</v>
      </c>
      <c r="O22" s="50">
        <v>2018</v>
      </c>
      <c r="P22" s="61">
        <v>2017</v>
      </c>
      <c r="Q22" s="53">
        <v>2015</v>
      </c>
      <c r="R22" s="53">
        <v>2014</v>
      </c>
      <c r="S22" s="50">
        <v>2015</v>
      </c>
      <c r="T22" s="61">
        <v>2017</v>
      </c>
      <c r="U22" s="50">
        <v>2015</v>
      </c>
      <c r="V22" s="61">
        <v>2016</v>
      </c>
      <c r="W22" s="62">
        <v>2016</v>
      </c>
      <c r="X22" s="190">
        <v>2017</v>
      </c>
      <c r="Y22" s="3" t="s">
        <v>76</v>
      </c>
    </row>
    <row r="23" spans="1:25" x14ac:dyDescent="0.25">
      <c r="A23" s="20" t="s">
        <v>78</v>
      </c>
      <c r="B23" s="61"/>
      <c r="C23" s="50"/>
      <c r="D23" s="61"/>
      <c r="E23" s="61"/>
      <c r="F23" s="50"/>
      <c r="G23" s="61"/>
      <c r="H23" s="53"/>
      <c r="I23" s="50"/>
      <c r="J23" s="61"/>
      <c r="K23" s="53"/>
      <c r="L23" s="50"/>
      <c r="M23" s="61"/>
      <c r="N23" s="53"/>
      <c r="O23" s="50"/>
      <c r="P23" s="61"/>
      <c r="Q23" s="53"/>
      <c r="R23" s="53"/>
      <c r="S23" s="50"/>
      <c r="T23" s="61"/>
      <c r="U23" s="50"/>
      <c r="V23" s="61"/>
      <c r="W23" s="62"/>
      <c r="X23" s="190"/>
      <c r="Y23" s="3" t="s">
        <v>42</v>
      </c>
    </row>
    <row r="24" spans="1:25" x14ac:dyDescent="0.25">
      <c r="A24" s="20" t="s">
        <v>146</v>
      </c>
      <c r="B24" s="84"/>
      <c r="C24" s="83"/>
      <c r="D24" s="84"/>
      <c r="E24" s="84"/>
      <c r="F24" s="83"/>
      <c r="G24" s="84"/>
      <c r="H24" s="82"/>
      <c r="I24" s="83"/>
      <c r="J24" s="84"/>
      <c r="K24" s="82"/>
      <c r="L24" s="83"/>
      <c r="M24" s="84"/>
      <c r="N24" s="82"/>
      <c r="O24" s="83"/>
      <c r="P24" s="84"/>
      <c r="Q24" s="82"/>
      <c r="R24" s="82"/>
      <c r="S24" s="83"/>
      <c r="T24" s="84"/>
      <c r="U24" s="83"/>
      <c r="V24" s="84"/>
      <c r="W24" s="85"/>
      <c r="X24" s="193"/>
    </row>
    <row r="25" spans="1:25" x14ac:dyDescent="0.25">
      <c r="A25" s="20" t="s">
        <v>79</v>
      </c>
      <c r="B25" s="84"/>
      <c r="C25" s="83"/>
      <c r="D25" s="84"/>
      <c r="E25" s="84"/>
      <c r="F25" s="83"/>
      <c r="G25" s="84"/>
      <c r="H25" s="82"/>
      <c r="I25" s="83"/>
      <c r="J25" s="84"/>
      <c r="K25" s="82"/>
      <c r="L25" s="83"/>
      <c r="M25" s="84"/>
      <c r="N25" s="82"/>
      <c r="O25" s="83"/>
      <c r="P25" s="84"/>
      <c r="Q25" s="82"/>
      <c r="R25" s="82"/>
      <c r="S25" s="83"/>
      <c r="T25" s="84"/>
      <c r="U25" s="83"/>
      <c r="V25" s="84"/>
      <c r="W25" s="85"/>
      <c r="X25" s="193"/>
    </row>
    <row r="26" spans="1:25" x14ac:dyDescent="0.25">
      <c r="A26" s="20" t="s">
        <v>80</v>
      </c>
      <c r="B26" s="84"/>
      <c r="C26" s="83"/>
      <c r="D26" s="84"/>
      <c r="E26" s="84"/>
      <c r="F26" s="83"/>
      <c r="G26" s="84"/>
      <c r="H26" s="82"/>
      <c r="I26" s="83"/>
      <c r="J26" s="84"/>
      <c r="K26" s="82"/>
      <c r="L26" s="83"/>
      <c r="M26" s="84"/>
      <c r="N26" s="82"/>
      <c r="O26" s="83"/>
      <c r="P26" s="84"/>
      <c r="Q26" s="82"/>
      <c r="R26" s="82"/>
      <c r="S26" s="83"/>
      <c r="T26" s="84"/>
      <c r="U26" s="83"/>
      <c r="V26" s="84"/>
      <c r="W26" s="85"/>
      <c r="X26" s="193"/>
      <c r="Y26" s="3" t="s">
        <v>42</v>
      </c>
    </row>
    <row r="27" spans="1:25" x14ac:dyDescent="0.25">
      <c r="A27" s="20" t="s">
        <v>129</v>
      </c>
      <c r="B27" s="84"/>
      <c r="C27" s="83"/>
      <c r="D27" s="84"/>
      <c r="E27" s="84"/>
      <c r="F27" s="83"/>
      <c r="G27" s="84"/>
      <c r="H27" s="82"/>
      <c r="I27" s="83" t="s">
        <v>166</v>
      </c>
      <c r="J27" s="84"/>
      <c r="K27" s="82"/>
      <c r="L27" s="83"/>
      <c r="M27" s="84"/>
      <c r="N27" s="82"/>
      <c r="O27" s="83"/>
      <c r="P27" s="84"/>
      <c r="Q27" s="82"/>
      <c r="R27" s="82"/>
      <c r="S27" s="83"/>
      <c r="T27" s="84"/>
      <c r="U27" s="83"/>
      <c r="V27" s="84"/>
      <c r="W27" s="85"/>
      <c r="X27" s="193"/>
    </row>
    <row r="28" spans="1:25" x14ac:dyDescent="0.25">
      <c r="A28" s="20" t="s">
        <v>167</v>
      </c>
      <c r="B28" s="84">
        <v>14</v>
      </c>
      <c r="C28" s="83">
        <v>14</v>
      </c>
      <c r="D28" s="84">
        <v>0</v>
      </c>
      <c r="E28" s="84">
        <v>14</v>
      </c>
      <c r="F28" s="83">
        <v>14</v>
      </c>
      <c r="G28" s="84">
        <v>14</v>
      </c>
      <c r="H28" s="82">
        <v>14</v>
      </c>
      <c r="I28" s="83">
        <v>14</v>
      </c>
      <c r="J28" s="84">
        <v>14</v>
      </c>
      <c r="K28" s="82">
        <v>14</v>
      </c>
      <c r="L28" s="83">
        <v>14</v>
      </c>
      <c r="M28" s="84">
        <v>14</v>
      </c>
      <c r="N28" s="82">
        <v>14</v>
      </c>
      <c r="O28" s="83">
        <v>14</v>
      </c>
      <c r="P28" s="84">
        <v>0</v>
      </c>
      <c r="Q28" s="82">
        <v>14</v>
      </c>
      <c r="R28" s="82">
        <v>14</v>
      </c>
      <c r="S28" s="83">
        <v>0</v>
      </c>
      <c r="T28" s="84">
        <v>14</v>
      </c>
      <c r="U28" s="83">
        <v>14</v>
      </c>
      <c r="V28" s="84">
        <v>0</v>
      </c>
      <c r="W28" s="85">
        <v>0</v>
      </c>
      <c r="X28" s="193"/>
    </row>
    <row r="29" spans="1:25" x14ac:dyDescent="0.25">
      <c r="A29" s="20" t="s">
        <v>83</v>
      </c>
      <c r="B29" s="84"/>
      <c r="C29" s="83"/>
      <c r="D29" s="84"/>
      <c r="E29" s="84"/>
      <c r="F29" s="83"/>
      <c r="G29" s="93"/>
      <c r="H29" s="82"/>
      <c r="I29" s="83"/>
      <c r="J29" s="84"/>
      <c r="K29" s="82"/>
      <c r="L29" s="83"/>
      <c r="M29" s="84"/>
      <c r="N29" s="82"/>
      <c r="O29" s="83"/>
      <c r="P29" s="84"/>
      <c r="Q29" s="82"/>
      <c r="R29" s="82"/>
      <c r="S29" s="83"/>
      <c r="T29" s="84"/>
      <c r="U29" s="83"/>
      <c r="V29" s="84"/>
      <c r="W29" s="85"/>
      <c r="X29" s="193"/>
    </row>
    <row r="30" spans="1:25" x14ac:dyDescent="0.25">
      <c r="A30" s="20" t="s">
        <v>84</v>
      </c>
      <c r="B30" s="314">
        <v>0</v>
      </c>
      <c r="C30" s="314"/>
      <c r="D30" s="2">
        <v>0</v>
      </c>
      <c r="E30" s="314">
        <v>0</v>
      </c>
      <c r="F30" s="314"/>
      <c r="G30" s="314" t="s">
        <v>37</v>
      </c>
      <c r="H30" s="314"/>
      <c r="I30" s="314"/>
      <c r="J30" s="314"/>
      <c r="K30" s="314"/>
      <c r="L30" s="314"/>
      <c r="M30" s="314">
        <v>20</v>
      </c>
      <c r="N30" s="314"/>
      <c r="O30" s="314"/>
      <c r="P30" s="314">
        <v>7</v>
      </c>
      <c r="Q30" s="314"/>
      <c r="R30" s="314"/>
      <c r="S30" s="314"/>
      <c r="T30" s="314"/>
      <c r="U30" s="314"/>
      <c r="V30" s="315"/>
      <c r="W30" s="315"/>
      <c r="X30" s="193"/>
    </row>
    <row r="31" spans="1:25" x14ac:dyDescent="0.25">
      <c r="A31" s="20" t="s">
        <v>85</v>
      </c>
      <c r="B31" s="314">
        <f>B28+C28-B29-C29-B30</f>
        <v>28</v>
      </c>
      <c r="C31" s="314"/>
      <c r="D31" s="2">
        <f>D28-D29-D30</f>
        <v>0</v>
      </c>
      <c r="E31" s="314">
        <f>E28+F28-E29-F29-E30</f>
        <v>28</v>
      </c>
      <c r="F31" s="314"/>
      <c r="G31" s="314" t="e">
        <f>G28+H28+I28-G29-H29-I29-G30</f>
        <v>#VALUE!</v>
      </c>
      <c r="H31" s="314"/>
      <c r="I31" s="314"/>
      <c r="J31" s="314">
        <f>J28+K28+L28-J29-K29-L29-J30</f>
        <v>42</v>
      </c>
      <c r="K31" s="314"/>
      <c r="L31" s="314"/>
      <c r="M31" s="314">
        <f>M28+N28+O28-M29-N29-O29-M30</f>
        <v>22</v>
      </c>
      <c r="N31" s="314"/>
      <c r="O31" s="314"/>
      <c r="P31" s="314">
        <f>P28+Q28+R28+S28-P29-Q29-R29-S29-P30</f>
        <v>21</v>
      </c>
      <c r="Q31" s="314"/>
      <c r="R31" s="314"/>
      <c r="S31" s="314"/>
      <c r="T31" s="314">
        <f>T28+U28-T29-U29-T30</f>
        <v>28</v>
      </c>
      <c r="U31" s="314"/>
      <c r="V31" s="315">
        <f>V28+W28-V29-W29-V30</f>
        <v>0</v>
      </c>
      <c r="W31" s="315"/>
      <c r="X31" s="193"/>
    </row>
    <row r="32" spans="1:25" x14ac:dyDescent="0.25">
      <c r="A32" s="20" t="s">
        <v>86</v>
      </c>
      <c r="B32" s="314"/>
      <c r="C32" s="314"/>
      <c r="D32" s="2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5"/>
      <c r="W32" s="315"/>
      <c r="X32" s="193"/>
    </row>
    <row r="33" spans="1:24" x14ac:dyDescent="0.25">
      <c r="A33" s="20" t="s">
        <v>130</v>
      </c>
      <c r="B33" s="314" t="s">
        <v>114</v>
      </c>
      <c r="C33" s="314"/>
      <c r="D33" s="2" t="s">
        <v>114</v>
      </c>
      <c r="E33" s="314" t="s">
        <v>114</v>
      </c>
      <c r="F33" s="314"/>
      <c r="G33" s="314"/>
      <c r="H33" s="314"/>
      <c r="I33" s="314"/>
      <c r="J33" s="314"/>
      <c r="K33" s="314"/>
      <c r="L33" s="314"/>
      <c r="M33" s="314" t="s">
        <v>147</v>
      </c>
      <c r="N33" s="314"/>
      <c r="O33" s="314"/>
      <c r="P33" s="316"/>
      <c r="Q33" s="316"/>
      <c r="R33" s="316"/>
      <c r="S33" s="316"/>
      <c r="T33" s="314"/>
      <c r="U33" s="314"/>
      <c r="V33" s="315" t="s">
        <v>114</v>
      </c>
      <c r="W33" s="315"/>
      <c r="X33" s="193"/>
    </row>
    <row r="34" spans="1:24" s="118" customFormat="1" x14ac:dyDescent="0.25">
      <c r="A34" s="194"/>
      <c r="B34" s="195"/>
      <c r="C34" s="196"/>
      <c r="D34" s="195"/>
      <c r="E34" s="195"/>
      <c r="F34" s="196"/>
      <c r="G34" s="195"/>
      <c r="H34" s="197"/>
      <c r="I34" s="196"/>
      <c r="J34" s="195"/>
      <c r="K34" s="197"/>
      <c r="L34" s="196"/>
      <c r="M34" s="195"/>
      <c r="N34" s="197"/>
      <c r="O34" s="196"/>
      <c r="P34" s="195"/>
      <c r="Q34" s="197"/>
      <c r="R34" s="197"/>
      <c r="S34" s="196"/>
      <c r="T34" s="195"/>
      <c r="U34" s="196"/>
      <c r="V34" s="197"/>
      <c r="W34" s="198"/>
      <c r="X34" s="199"/>
    </row>
    <row r="35" spans="1:24" s="64" customFormat="1" x14ac:dyDescent="0.25">
      <c r="A35" s="62" t="s">
        <v>91</v>
      </c>
      <c r="B35" s="52"/>
      <c r="C35" s="119"/>
      <c r="D35" s="52"/>
      <c r="E35" s="52"/>
      <c r="F35" s="119"/>
      <c r="G35" s="52"/>
      <c r="I35" s="119"/>
      <c r="J35" s="52"/>
      <c r="L35" s="119"/>
      <c r="M35" s="52"/>
      <c r="O35" s="119"/>
      <c r="P35" s="52"/>
      <c r="S35" s="119"/>
      <c r="T35" s="52"/>
      <c r="U35" s="119"/>
      <c r="V35" s="52"/>
      <c r="X35" s="200"/>
    </row>
    <row r="36" spans="1:24" s="121" customFormat="1" x14ac:dyDescent="0.25">
      <c r="A36" s="86" t="s">
        <v>93</v>
      </c>
      <c r="B36" s="90"/>
      <c r="C36" s="120"/>
      <c r="D36" s="90"/>
      <c r="E36" s="90"/>
      <c r="F36" s="120"/>
      <c r="G36" s="90"/>
      <c r="I36" s="120"/>
      <c r="J36" s="90"/>
      <c r="L36" s="120"/>
      <c r="M36" s="90"/>
      <c r="O36" s="120"/>
      <c r="P36" s="90"/>
      <c r="S36" s="120"/>
      <c r="T36" s="90"/>
      <c r="U36" s="120"/>
      <c r="V36" s="90"/>
      <c r="X36" s="201"/>
    </row>
    <row r="37" spans="1:24" s="122" customFormat="1" x14ac:dyDescent="0.25">
      <c r="A37" s="81" t="s">
        <v>94</v>
      </c>
      <c r="B37" s="78"/>
      <c r="C37" s="175"/>
      <c r="D37" s="78"/>
      <c r="E37" s="78"/>
      <c r="F37" s="175"/>
      <c r="G37" s="78"/>
      <c r="I37" s="175"/>
      <c r="J37" s="78"/>
      <c r="L37" s="175"/>
      <c r="M37" s="78"/>
      <c r="O37" s="175"/>
      <c r="P37" s="78"/>
      <c r="S37" s="175"/>
      <c r="T37" s="78"/>
      <c r="U37" s="175"/>
      <c r="V37" s="78"/>
      <c r="X37" s="202"/>
    </row>
    <row r="38" spans="1:24" s="58" customFormat="1" x14ac:dyDescent="0.25">
      <c r="A38" s="70" t="s">
        <v>95</v>
      </c>
      <c r="B38" s="57"/>
      <c r="C38" s="123"/>
      <c r="D38" s="57"/>
      <c r="E38" s="57"/>
      <c r="F38" s="123"/>
      <c r="G38" s="57"/>
      <c r="I38" s="123"/>
      <c r="J38" s="57"/>
      <c r="L38" s="123"/>
      <c r="M38" s="57"/>
      <c r="O38" s="123"/>
      <c r="P38" s="57"/>
      <c r="S38" s="123"/>
      <c r="T38" s="57"/>
      <c r="U38" s="123"/>
      <c r="V38" s="57"/>
      <c r="X38" s="192"/>
    </row>
    <row r="39" spans="1:24" s="126" customFormat="1" x14ac:dyDescent="0.25">
      <c r="A39" s="124" t="s">
        <v>96</v>
      </c>
      <c r="B39" s="125"/>
      <c r="C39" s="176"/>
      <c r="D39" s="125"/>
      <c r="E39" s="125"/>
      <c r="F39" s="176"/>
      <c r="G39" s="125"/>
      <c r="I39" s="176"/>
      <c r="J39" s="125"/>
      <c r="L39" s="176"/>
      <c r="M39" s="125"/>
      <c r="O39" s="176"/>
      <c r="P39" s="125"/>
      <c r="S39" s="176"/>
      <c r="T39" s="125"/>
      <c r="U39" s="176"/>
      <c r="V39" s="125"/>
      <c r="X39" s="203"/>
    </row>
    <row r="40" spans="1:24" s="132" customFormat="1" x14ac:dyDescent="0.25">
      <c r="A40" s="128" t="s">
        <v>97</v>
      </c>
      <c r="B40" s="178"/>
      <c r="C40" s="179"/>
      <c r="D40" s="178"/>
      <c r="E40" s="178"/>
      <c r="F40" s="179"/>
      <c r="G40" s="178"/>
      <c r="I40" s="179"/>
      <c r="J40" s="178"/>
      <c r="L40" s="179"/>
      <c r="M40" s="178"/>
      <c r="O40" s="179"/>
      <c r="P40" s="178"/>
      <c r="S40" s="179"/>
      <c r="T40" s="178"/>
      <c r="U40" s="179"/>
      <c r="V40" s="178"/>
      <c r="X40" s="204"/>
    </row>
  </sheetData>
  <mergeCells count="32">
    <mergeCell ref="P30:S30"/>
    <mergeCell ref="T30:U30"/>
    <mergeCell ref="V30:W30"/>
    <mergeCell ref="B31:C31"/>
    <mergeCell ref="E31:F31"/>
    <mergeCell ref="G31:I31"/>
    <mergeCell ref="J31:L31"/>
    <mergeCell ref="M31:O31"/>
    <mergeCell ref="P31:S31"/>
    <mergeCell ref="T31:U31"/>
    <mergeCell ref="V31:W31"/>
    <mergeCell ref="B30:C30"/>
    <mergeCell ref="E30:F30"/>
    <mergeCell ref="G30:I30"/>
    <mergeCell ref="J30:L30"/>
    <mergeCell ref="M30:O30"/>
    <mergeCell ref="P32:S32"/>
    <mergeCell ref="T32:U32"/>
    <mergeCell ref="V32:W32"/>
    <mergeCell ref="B33:C33"/>
    <mergeCell ref="E33:F33"/>
    <mergeCell ref="G33:I33"/>
    <mergeCell ref="J33:L33"/>
    <mergeCell ref="M33:O33"/>
    <mergeCell ref="P33:S33"/>
    <mergeCell ref="T33:U33"/>
    <mergeCell ref="V33:W33"/>
    <mergeCell ref="B32:C32"/>
    <mergeCell ref="E32:F32"/>
    <mergeCell ref="G32:I32"/>
    <mergeCell ref="J32:L32"/>
    <mergeCell ref="M32:O32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J40"/>
  <sheetViews>
    <sheetView zoomScaleNormal="100" workbookViewId="0">
      <pane xSplit="1" ySplit="1" topLeftCell="B8" activePane="bottomRight" state="frozen"/>
      <selection pane="topRight" activeCell="B1" sqref="B1"/>
      <selection pane="bottomLeft" activeCell="A8" sqref="A8"/>
      <selection pane="bottomRight" activeCell="O10" sqref="O10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4" customWidth="1"/>
    <col min="11" max="11" width="7.28515625" style="3" customWidth="1"/>
    <col min="12" max="12" width="7.28515625" style="5" customWidth="1"/>
    <col min="13" max="13" width="7.28515625" style="4" customWidth="1"/>
    <col min="14" max="14" width="7.28515625" style="3" customWidth="1"/>
    <col min="15" max="15" width="7.28515625" style="5" customWidth="1"/>
    <col min="16" max="16" width="7.28515625" style="4" customWidth="1"/>
    <col min="17" max="18" width="7.28515625" style="3" customWidth="1"/>
    <col min="19" max="19" width="7.28515625" style="5" customWidth="1"/>
    <col min="20" max="20" width="7.28515625" style="4" customWidth="1"/>
    <col min="21" max="21" width="7.28515625" style="5" customWidth="1"/>
    <col min="22" max="22" width="7.28515625" style="4" customWidth="1"/>
    <col min="23" max="23" width="7.28515625" style="3" customWidth="1"/>
    <col min="24" max="24" width="8.85546875" style="164"/>
    <col min="25" max="1024" width="8.85546875" style="3"/>
  </cols>
  <sheetData>
    <row r="1" spans="1:25" s="19" customFormat="1" x14ac:dyDescent="0.25">
      <c r="A1" s="7"/>
      <c r="B1" s="181" t="s">
        <v>0</v>
      </c>
      <c r="C1" s="182" t="s">
        <v>1</v>
      </c>
      <c r="D1" s="181" t="s">
        <v>99</v>
      </c>
      <c r="E1" s="181" t="s">
        <v>2</v>
      </c>
      <c r="F1" s="182" t="s">
        <v>3</v>
      </c>
      <c r="G1" s="181" t="s">
        <v>4</v>
      </c>
      <c r="H1" s="183" t="s">
        <v>5</v>
      </c>
      <c r="I1" s="182" t="s">
        <v>6</v>
      </c>
      <c r="J1" s="181" t="s">
        <v>7</v>
      </c>
      <c r="K1" s="183" t="s">
        <v>8</v>
      </c>
      <c r="L1" s="182" t="s">
        <v>9</v>
      </c>
      <c r="M1" s="181" t="s">
        <v>10</v>
      </c>
      <c r="N1" s="183" t="s">
        <v>11</v>
      </c>
      <c r="O1" s="182" t="s">
        <v>13</v>
      </c>
      <c r="P1" s="181" t="s">
        <v>14</v>
      </c>
      <c r="Q1" s="183" t="s">
        <v>15</v>
      </c>
      <c r="R1" s="183" t="s">
        <v>16</v>
      </c>
      <c r="S1" s="182" t="s">
        <v>101</v>
      </c>
      <c r="T1" s="181" t="s">
        <v>19</v>
      </c>
      <c r="U1" s="182" t="s">
        <v>20</v>
      </c>
      <c r="V1" s="181" t="s">
        <v>21</v>
      </c>
      <c r="W1" s="184" t="s">
        <v>102</v>
      </c>
      <c r="X1" s="185" t="s">
        <v>131</v>
      </c>
    </row>
    <row r="2" spans="1:25" x14ac:dyDescent="0.25">
      <c r="A2" s="20" t="s">
        <v>24</v>
      </c>
      <c r="B2" s="186"/>
      <c r="C2" s="168"/>
      <c r="D2" s="186"/>
      <c r="E2" s="186"/>
      <c r="F2" s="168"/>
      <c r="G2" s="186"/>
      <c r="H2" s="187"/>
      <c r="I2" s="168"/>
      <c r="J2" s="186"/>
      <c r="K2" s="187"/>
      <c r="L2" s="168"/>
      <c r="M2" s="186"/>
      <c r="N2" s="187"/>
      <c r="O2" s="168"/>
      <c r="P2" s="186"/>
      <c r="Q2" s="187"/>
      <c r="R2" s="187"/>
      <c r="S2" s="168"/>
      <c r="T2" s="186"/>
      <c r="U2" s="168"/>
      <c r="V2" s="186" t="s">
        <v>148</v>
      </c>
      <c r="W2" s="20" t="s">
        <v>148</v>
      </c>
      <c r="X2" s="188" t="s">
        <v>148</v>
      </c>
    </row>
    <row r="3" spans="1:25" s="38" customFormat="1" x14ac:dyDescent="0.25">
      <c r="A3" s="29" t="s">
        <v>25</v>
      </c>
      <c r="B3" s="158"/>
      <c r="C3" s="158"/>
      <c r="D3" s="158"/>
      <c r="E3" s="158"/>
      <c r="F3" s="158"/>
      <c r="G3" s="158" t="s">
        <v>149</v>
      </c>
      <c r="H3" s="158" t="s">
        <v>149</v>
      </c>
      <c r="I3" s="158" t="s">
        <v>149</v>
      </c>
      <c r="J3" s="158"/>
      <c r="K3" s="158"/>
      <c r="L3" s="158"/>
      <c r="M3" s="158"/>
      <c r="N3" s="158"/>
      <c r="O3" s="37"/>
      <c r="P3" s="37"/>
      <c r="Q3" s="37"/>
      <c r="R3" s="37"/>
      <c r="S3" s="37"/>
      <c r="T3" s="37"/>
      <c r="U3" s="37"/>
      <c r="V3" s="37"/>
      <c r="W3" s="29"/>
      <c r="X3" s="189"/>
    </row>
    <row r="4" spans="1:25" s="38" customFormat="1" x14ac:dyDescent="0.25">
      <c r="A4" s="29" t="s">
        <v>31</v>
      </c>
      <c r="B4" s="158" t="s">
        <v>133</v>
      </c>
      <c r="C4" s="158" t="s">
        <v>133</v>
      </c>
      <c r="D4" s="158" t="s">
        <v>133</v>
      </c>
      <c r="E4" s="158" t="s">
        <v>133</v>
      </c>
      <c r="F4" s="158" t="s">
        <v>133</v>
      </c>
      <c r="G4" s="158" t="s">
        <v>133</v>
      </c>
      <c r="H4" s="158" t="s">
        <v>133</v>
      </c>
      <c r="I4" s="158" t="s">
        <v>133</v>
      </c>
      <c r="J4" s="37" t="s">
        <v>133</v>
      </c>
      <c r="K4" s="37" t="s">
        <v>133</v>
      </c>
      <c r="L4" s="37" t="s">
        <v>133</v>
      </c>
      <c r="M4" s="158" t="s">
        <v>133</v>
      </c>
      <c r="N4" s="158" t="s">
        <v>133</v>
      </c>
      <c r="O4" s="37" t="s">
        <v>133</v>
      </c>
      <c r="P4" s="37" t="s">
        <v>133</v>
      </c>
      <c r="Q4" s="37" t="s">
        <v>133</v>
      </c>
      <c r="R4" s="37" t="s">
        <v>133</v>
      </c>
      <c r="S4" s="37" t="s">
        <v>133</v>
      </c>
      <c r="T4" s="158" t="s">
        <v>133</v>
      </c>
      <c r="U4" s="158" t="s">
        <v>133</v>
      </c>
      <c r="V4" s="158" t="s">
        <v>133</v>
      </c>
      <c r="W4" s="157" t="s">
        <v>133</v>
      </c>
      <c r="X4" s="189"/>
    </row>
    <row r="5" spans="1:25" x14ac:dyDescent="0.25">
      <c r="A5" s="20" t="s">
        <v>38</v>
      </c>
      <c r="B5" s="61">
        <v>2016</v>
      </c>
      <c r="C5" s="50">
        <v>2016</v>
      </c>
      <c r="D5" s="61">
        <v>2016</v>
      </c>
      <c r="E5" s="61">
        <v>2017</v>
      </c>
      <c r="F5" s="50">
        <v>2017</v>
      </c>
      <c r="G5" s="61">
        <v>2009</v>
      </c>
      <c r="H5" s="53">
        <v>2016</v>
      </c>
      <c r="I5" s="50">
        <v>2013</v>
      </c>
      <c r="J5" s="59" t="s">
        <v>136</v>
      </c>
      <c r="K5" s="53">
        <v>2017</v>
      </c>
      <c r="L5" s="50">
        <v>2015</v>
      </c>
      <c r="M5" s="61">
        <v>2017</v>
      </c>
      <c r="N5" s="53">
        <v>2015</v>
      </c>
      <c r="O5" s="50">
        <v>2014</v>
      </c>
      <c r="P5" s="61">
        <v>2011</v>
      </c>
      <c r="Q5" s="71">
        <v>2008</v>
      </c>
      <c r="R5" s="53">
        <v>2014</v>
      </c>
      <c r="S5" s="50">
        <v>2015</v>
      </c>
      <c r="T5" s="61">
        <v>2015</v>
      </c>
      <c r="U5" s="60">
        <v>2009</v>
      </c>
      <c r="V5" s="61">
        <v>2016</v>
      </c>
      <c r="W5" s="62">
        <v>2016</v>
      </c>
      <c r="X5" s="190">
        <v>2017</v>
      </c>
    </row>
    <row r="6" spans="1:25" x14ac:dyDescent="0.25">
      <c r="A6" s="20" t="s">
        <v>39</v>
      </c>
      <c r="B6" s="84"/>
      <c r="C6" s="83"/>
      <c r="D6" s="84"/>
      <c r="E6" s="61"/>
      <c r="F6" s="50"/>
      <c r="G6" s="84"/>
      <c r="H6" s="82"/>
      <c r="I6" s="83"/>
      <c r="J6" s="61" t="s">
        <v>150</v>
      </c>
      <c r="K6" s="53" t="s">
        <v>150</v>
      </c>
      <c r="L6" s="50" t="s">
        <v>150</v>
      </c>
      <c r="M6" s="61" t="s">
        <v>150</v>
      </c>
      <c r="N6" s="53" t="s">
        <v>150</v>
      </c>
      <c r="O6" s="50" t="s">
        <v>150</v>
      </c>
      <c r="P6" s="84"/>
      <c r="Q6" s="82"/>
      <c r="R6" s="82"/>
      <c r="S6" s="83"/>
      <c r="T6" s="84"/>
      <c r="U6" s="83"/>
      <c r="V6" s="84"/>
      <c r="W6" s="85"/>
      <c r="X6" s="190"/>
      <c r="Y6" s="3" t="s">
        <v>40</v>
      </c>
    </row>
    <row r="7" spans="1:25" x14ac:dyDescent="0.25">
      <c r="A7" s="20" t="s">
        <v>41</v>
      </c>
      <c r="B7" s="61"/>
      <c r="C7" s="50"/>
      <c r="D7" s="61"/>
      <c r="E7" s="61"/>
      <c r="F7" s="50"/>
      <c r="G7" s="61"/>
      <c r="H7" s="53"/>
      <c r="I7" s="50"/>
      <c r="J7" s="61"/>
      <c r="K7" s="53"/>
      <c r="L7" s="50"/>
      <c r="M7" s="61"/>
      <c r="N7" s="53"/>
      <c r="O7" s="50"/>
      <c r="P7" s="61"/>
      <c r="Q7" s="53"/>
      <c r="R7" s="53"/>
      <c r="S7" s="50"/>
      <c r="T7" s="61"/>
      <c r="U7" s="50"/>
      <c r="V7" s="61"/>
      <c r="W7" s="62"/>
      <c r="X7" s="190"/>
      <c r="Y7" s="3" t="s">
        <v>42</v>
      </c>
    </row>
    <row r="8" spans="1:25" x14ac:dyDescent="0.25">
      <c r="A8" s="20" t="s">
        <v>43</v>
      </c>
      <c r="B8" s="61"/>
      <c r="C8" s="50"/>
      <c r="D8" s="61"/>
      <c r="E8" s="61"/>
      <c r="F8" s="50"/>
      <c r="G8" s="61"/>
      <c r="H8" s="53"/>
      <c r="I8" s="50"/>
      <c r="J8" s="61"/>
      <c r="K8" s="53"/>
      <c r="L8" s="50"/>
      <c r="M8" s="61"/>
      <c r="N8" s="53"/>
      <c r="O8" s="50"/>
      <c r="P8" s="61"/>
      <c r="Q8" s="53"/>
      <c r="R8" s="53"/>
      <c r="S8" s="50"/>
      <c r="T8" s="61"/>
      <c r="U8" s="50"/>
      <c r="V8" s="61"/>
      <c r="W8" s="62"/>
      <c r="X8" s="190"/>
      <c r="Y8" s="3" t="s">
        <v>42</v>
      </c>
    </row>
    <row r="9" spans="1:25" x14ac:dyDescent="0.25">
      <c r="A9" s="20" t="s">
        <v>44</v>
      </c>
      <c r="B9" s="59"/>
      <c r="C9" s="60"/>
      <c r="D9" s="59"/>
      <c r="E9" s="59"/>
      <c r="F9" s="60"/>
      <c r="G9" s="59"/>
      <c r="H9" s="71"/>
      <c r="I9" s="60"/>
      <c r="J9" s="59"/>
      <c r="K9" s="71"/>
      <c r="L9" s="191"/>
      <c r="M9" s="59"/>
      <c r="N9" s="71"/>
      <c r="O9" s="60"/>
      <c r="P9" s="59"/>
      <c r="Q9" s="71"/>
      <c r="R9" s="71"/>
      <c r="S9" s="60"/>
      <c r="T9" s="59"/>
      <c r="U9" s="60"/>
      <c r="V9" s="59"/>
      <c r="W9" s="70"/>
      <c r="X9" s="192"/>
      <c r="Y9" s="3" t="s">
        <v>45</v>
      </c>
    </row>
    <row r="10" spans="1:25" x14ac:dyDescent="0.25">
      <c r="A10" s="20" t="s">
        <v>46</v>
      </c>
      <c r="B10" s="61">
        <v>2016</v>
      </c>
      <c r="C10" s="50">
        <v>2016</v>
      </c>
      <c r="D10" s="61">
        <v>2016</v>
      </c>
      <c r="E10" s="61">
        <v>2017</v>
      </c>
      <c r="F10" s="50">
        <v>2017</v>
      </c>
      <c r="G10" s="61">
        <v>2015</v>
      </c>
      <c r="H10" s="53">
        <v>2017</v>
      </c>
      <c r="I10" s="50">
        <v>2013</v>
      </c>
      <c r="J10" s="59">
        <v>2010</v>
      </c>
      <c r="K10" s="53">
        <v>2016</v>
      </c>
      <c r="L10" s="50">
        <v>2015</v>
      </c>
      <c r="M10" s="61">
        <v>2017</v>
      </c>
      <c r="N10" s="53">
        <v>2017</v>
      </c>
      <c r="O10" s="74">
        <v>2014</v>
      </c>
      <c r="P10" s="61">
        <v>2017</v>
      </c>
      <c r="Q10" s="53">
        <v>2017</v>
      </c>
      <c r="R10" s="71" t="s">
        <v>151</v>
      </c>
      <c r="S10" s="50">
        <v>2015</v>
      </c>
      <c r="T10" s="59">
        <v>2011</v>
      </c>
      <c r="U10" s="50">
        <v>2017</v>
      </c>
      <c r="V10" s="61">
        <v>2014</v>
      </c>
      <c r="W10" s="62">
        <v>2016</v>
      </c>
      <c r="X10" s="190">
        <v>2017</v>
      </c>
      <c r="Y10" s="3" t="s">
        <v>47</v>
      </c>
    </row>
    <row r="11" spans="1:25" x14ac:dyDescent="0.25">
      <c r="A11" s="20" t="s">
        <v>50</v>
      </c>
      <c r="B11" s="61">
        <v>2016</v>
      </c>
      <c r="C11" s="50">
        <v>2016</v>
      </c>
      <c r="D11" s="61">
        <v>2016</v>
      </c>
      <c r="E11" s="61">
        <v>2017</v>
      </c>
      <c r="F11" s="50">
        <v>2017</v>
      </c>
      <c r="G11" s="61">
        <v>2015</v>
      </c>
      <c r="H11" s="53">
        <v>2016</v>
      </c>
      <c r="I11" s="60">
        <v>2013</v>
      </c>
      <c r="J11" s="59">
        <v>2013</v>
      </c>
      <c r="K11" s="53">
        <v>2016</v>
      </c>
      <c r="L11" s="60">
        <v>2012</v>
      </c>
      <c r="M11" s="61">
        <v>2017</v>
      </c>
      <c r="N11" s="53">
        <v>2018</v>
      </c>
      <c r="O11" s="50">
        <v>2014</v>
      </c>
      <c r="P11" s="61">
        <v>2017</v>
      </c>
      <c r="Q11" s="53">
        <v>2017</v>
      </c>
      <c r="R11" s="71">
        <v>2012</v>
      </c>
      <c r="S11" s="50">
        <v>2015</v>
      </c>
      <c r="T11" s="61">
        <v>2017</v>
      </c>
      <c r="U11" s="50">
        <v>2015</v>
      </c>
      <c r="V11" s="59">
        <v>2016</v>
      </c>
      <c r="W11" s="62">
        <v>2016</v>
      </c>
      <c r="X11" s="190">
        <v>2017</v>
      </c>
      <c r="Y11" s="3" t="s">
        <v>51</v>
      </c>
    </row>
    <row r="12" spans="1:25" x14ac:dyDescent="0.25">
      <c r="A12" s="20" t="s">
        <v>52</v>
      </c>
      <c r="B12" s="61">
        <v>2016</v>
      </c>
      <c r="C12" s="50">
        <v>2016</v>
      </c>
      <c r="D12" s="61">
        <v>2016</v>
      </c>
      <c r="E12" s="61">
        <v>2017</v>
      </c>
      <c r="F12" s="50">
        <v>2017</v>
      </c>
      <c r="G12" s="80">
        <v>2015</v>
      </c>
      <c r="H12" s="53">
        <v>2017</v>
      </c>
      <c r="I12" s="50">
        <v>2017</v>
      </c>
      <c r="J12" s="61">
        <v>2016</v>
      </c>
      <c r="K12" s="53">
        <v>2016</v>
      </c>
      <c r="L12" s="60" t="s">
        <v>152</v>
      </c>
      <c r="M12" s="61">
        <v>2017</v>
      </c>
      <c r="N12" s="53">
        <v>2017</v>
      </c>
      <c r="O12" s="50">
        <v>2018</v>
      </c>
      <c r="P12" s="61">
        <v>2017</v>
      </c>
      <c r="Q12" s="53">
        <v>2017</v>
      </c>
      <c r="R12" s="71">
        <v>2012</v>
      </c>
      <c r="S12" s="50">
        <v>2015</v>
      </c>
      <c r="T12" s="61">
        <v>2017</v>
      </c>
      <c r="U12" s="50">
        <v>2015</v>
      </c>
      <c r="V12" s="61">
        <v>2016</v>
      </c>
      <c r="W12" s="62">
        <v>2016</v>
      </c>
      <c r="X12" s="190">
        <v>2017</v>
      </c>
      <c r="Y12" s="3" t="s">
        <v>51</v>
      </c>
    </row>
    <row r="13" spans="1:25" x14ac:dyDescent="0.25">
      <c r="A13" s="20" t="s">
        <v>54</v>
      </c>
      <c r="B13" s="59"/>
      <c r="C13" s="60"/>
      <c r="D13" s="59"/>
      <c r="E13" s="59"/>
      <c r="F13" s="60"/>
      <c r="G13" s="59"/>
      <c r="H13" s="71"/>
      <c r="I13" s="60"/>
      <c r="J13" s="59"/>
      <c r="K13" s="71"/>
      <c r="L13" s="60"/>
      <c r="M13" s="59"/>
      <c r="N13" s="71"/>
      <c r="O13" s="60"/>
      <c r="P13" s="59"/>
      <c r="Q13" s="71"/>
      <c r="R13" s="71"/>
      <c r="S13" s="60"/>
      <c r="T13" s="59"/>
      <c r="U13" s="60"/>
      <c r="V13" s="59"/>
      <c r="W13" s="70"/>
      <c r="X13" s="192"/>
      <c r="Y13" s="3" t="s">
        <v>55</v>
      </c>
    </row>
    <row r="14" spans="1:25" x14ac:dyDescent="0.25">
      <c r="A14" s="20" t="s">
        <v>56</v>
      </c>
      <c r="B14" s="59"/>
      <c r="C14" s="60"/>
      <c r="D14" s="84"/>
      <c r="E14" s="59"/>
      <c r="F14" s="60"/>
      <c r="G14" s="80"/>
      <c r="H14" s="71"/>
      <c r="I14" s="60"/>
      <c r="J14" s="59"/>
      <c r="K14" s="71"/>
      <c r="L14" s="60"/>
      <c r="M14" s="59"/>
      <c r="N14" s="71"/>
      <c r="O14" s="191"/>
      <c r="P14" s="84"/>
      <c r="Q14" s="71"/>
      <c r="R14" s="65"/>
      <c r="S14" s="60"/>
      <c r="T14" s="59"/>
      <c r="U14" s="60"/>
      <c r="V14" s="59"/>
      <c r="W14" s="70"/>
      <c r="X14" s="192" t="s">
        <v>137</v>
      </c>
      <c r="Y14" s="3" t="s">
        <v>55</v>
      </c>
    </row>
    <row r="15" spans="1:25" x14ac:dyDescent="0.25">
      <c r="A15" s="20" t="s">
        <v>57</v>
      </c>
      <c r="B15" s="61" t="s">
        <v>153</v>
      </c>
      <c r="C15" s="74" t="s">
        <v>154</v>
      </c>
      <c r="D15" s="84"/>
      <c r="E15" s="61"/>
      <c r="F15" s="50"/>
      <c r="G15" s="59" t="s">
        <v>155</v>
      </c>
      <c r="H15" s="151" t="s">
        <v>156</v>
      </c>
      <c r="I15" s="60" t="s">
        <v>157</v>
      </c>
      <c r="J15" s="59" t="s">
        <v>158</v>
      </c>
      <c r="K15" s="53" t="s">
        <v>159</v>
      </c>
      <c r="L15" s="50" t="s">
        <v>160</v>
      </c>
      <c r="M15" s="61" t="s">
        <v>161</v>
      </c>
      <c r="N15" s="53" t="s">
        <v>162</v>
      </c>
      <c r="O15" s="50" t="s">
        <v>162</v>
      </c>
      <c r="P15" s="84"/>
      <c r="Q15" s="53"/>
      <c r="R15" s="71" t="s">
        <v>163</v>
      </c>
      <c r="S15" s="83"/>
      <c r="T15" s="61" t="s">
        <v>125</v>
      </c>
      <c r="U15" s="50" t="s">
        <v>164</v>
      </c>
      <c r="V15" s="61"/>
      <c r="W15" s="62"/>
      <c r="X15" s="193"/>
      <c r="Y15" s="3" t="s">
        <v>67</v>
      </c>
    </row>
    <row r="16" spans="1:25" x14ac:dyDescent="0.25">
      <c r="A16" s="20" t="s">
        <v>69</v>
      </c>
      <c r="B16" s="59"/>
      <c r="C16" s="60"/>
      <c r="D16" s="84"/>
      <c r="E16" s="61"/>
      <c r="F16" s="50"/>
      <c r="G16" s="80"/>
      <c r="H16" s="53"/>
      <c r="I16" s="50"/>
      <c r="J16" s="59"/>
      <c r="K16" s="65"/>
      <c r="L16" s="60"/>
      <c r="M16" s="59"/>
      <c r="N16" s="71"/>
      <c r="O16" s="75"/>
      <c r="P16" s="84"/>
      <c r="Q16" s="71"/>
      <c r="R16" s="71"/>
      <c r="S16" s="60"/>
      <c r="T16" s="59"/>
      <c r="U16" s="60"/>
      <c r="V16" s="61">
        <v>2016</v>
      </c>
      <c r="W16" s="62">
        <v>2014</v>
      </c>
      <c r="X16" s="190"/>
      <c r="Y16" s="3" t="s">
        <v>70</v>
      </c>
    </row>
    <row r="17" spans="1:25" x14ac:dyDescent="0.25">
      <c r="A17" s="20" t="s">
        <v>145</v>
      </c>
      <c r="B17" s="61"/>
      <c r="C17" s="50"/>
      <c r="D17" s="61"/>
      <c r="E17" s="61"/>
      <c r="F17" s="50"/>
      <c r="G17" s="61"/>
      <c r="H17" s="53"/>
      <c r="I17" s="50"/>
      <c r="J17" s="180"/>
      <c r="K17" s="127"/>
      <c r="L17" s="75"/>
      <c r="M17" s="61"/>
      <c r="N17" s="53"/>
      <c r="O17" s="50"/>
      <c r="P17" s="84"/>
      <c r="Q17" s="53"/>
      <c r="R17" s="53"/>
      <c r="S17" s="50"/>
      <c r="T17" s="61"/>
      <c r="U17" s="50"/>
      <c r="V17" s="61"/>
      <c r="W17" s="62"/>
      <c r="X17" s="190"/>
      <c r="Y17" s="3" t="s">
        <v>42</v>
      </c>
    </row>
    <row r="18" spans="1:25" x14ac:dyDescent="0.25">
      <c r="A18" s="20" t="s">
        <v>71</v>
      </c>
      <c r="B18" s="61"/>
      <c r="C18" s="50"/>
      <c r="D18" s="61"/>
      <c r="E18" s="61"/>
      <c r="F18" s="50"/>
      <c r="G18" s="61"/>
      <c r="H18" s="53"/>
      <c r="I18" s="50"/>
      <c r="J18" s="61"/>
      <c r="K18" s="53"/>
      <c r="L18" s="50"/>
      <c r="M18" s="61"/>
      <c r="N18" s="53"/>
      <c r="O18" s="50"/>
      <c r="P18" s="84"/>
      <c r="Q18" s="53"/>
      <c r="R18" s="53"/>
      <c r="S18" s="50"/>
      <c r="T18" s="61"/>
      <c r="U18" s="50"/>
      <c r="V18" s="61"/>
      <c r="W18" s="62"/>
      <c r="X18" s="190"/>
      <c r="Y18" s="3" t="s">
        <v>42</v>
      </c>
    </row>
    <row r="19" spans="1:25" x14ac:dyDescent="0.25">
      <c r="A19" s="20" t="s">
        <v>72</v>
      </c>
      <c r="B19" s="61"/>
      <c r="C19" s="50"/>
      <c r="D19" s="61"/>
      <c r="E19" s="61"/>
      <c r="F19" s="50"/>
      <c r="G19" s="61"/>
      <c r="H19" s="53"/>
      <c r="I19" s="50"/>
      <c r="J19" s="61"/>
      <c r="K19" s="53"/>
      <c r="L19" s="50"/>
      <c r="M19" s="61"/>
      <c r="N19" s="53"/>
      <c r="O19" s="50"/>
      <c r="P19" s="61"/>
      <c r="Q19" s="53"/>
      <c r="R19" s="53"/>
      <c r="S19" s="50"/>
      <c r="T19" s="61"/>
      <c r="U19" s="50"/>
      <c r="V19" s="61"/>
      <c r="W19" s="62"/>
      <c r="X19" s="190"/>
      <c r="Y19" s="3" t="s">
        <v>42</v>
      </c>
    </row>
    <row r="20" spans="1:25" x14ac:dyDescent="0.25">
      <c r="A20" s="20" t="s">
        <v>73</v>
      </c>
      <c r="B20" s="61"/>
      <c r="C20" s="50"/>
      <c r="D20" s="61"/>
      <c r="E20" s="61"/>
      <c r="F20" s="50"/>
      <c r="G20" s="61"/>
      <c r="H20" s="53"/>
      <c r="I20" s="50"/>
      <c r="J20" s="61"/>
      <c r="K20" s="65"/>
      <c r="L20" s="50"/>
      <c r="M20" s="80"/>
      <c r="N20" s="53"/>
      <c r="O20" s="50"/>
      <c r="P20" s="61"/>
      <c r="Q20" s="53"/>
      <c r="R20" s="53"/>
      <c r="S20" s="50"/>
      <c r="T20" s="61"/>
      <c r="U20" s="50"/>
      <c r="V20" s="61"/>
      <c r="W20" s="62"/>
      <c r="X20" s="190"/>
      <c r="Y20" s="3" t="s">
        <v>42</v>
      </c>
    </row>
    <row r="21" spans="1:25" x14ac:dyDescent="0.25">
      <c r="A21" s="20" t="s">
        <v>74</v>
      </c>
      <c r="B21" s="61"/>
      <c r="C21" s="50"/>
      <c r="D21" s="61"/>
      <c r="E21" s="61"/>
      <c r="F21" s="50"/>
      <c r="G21" s="61"/>
      <c r="H21" s="53"/>
      <c r="I21" s="50"/>
      <c r="J21" s="61"/>
      <c r="K21" s="53"/>
      <c r="L21" s="50"/>
      <c r="M21" s="61"/>
      <c r="N21" s="53"/>
      <c r="O21" s="50"/>
      <c r="P21" s="61"/>
      <c r="Q21" s="53"/>
      <c r="R21" s="53"/>
      <c r="S21" s="50"/>
      <c r="T21" s="61"/>
      <c r="U21" s="50"/>
      <c r="V21" s="61"/>
      <c r="W21" s="62"/>
      <c r="X21" s="190"/>
      <c r="Y21" s="3" t="s">
        <v>42</v>
      </c>
    </row>
    <row r="22" spans="1:25" x14ac:dyDescent="0.25">
      <c r="A22" s="20" t="s">
        <v>75</v>
      </c>
      <c r="B22" s="61">
        <v>2016</v>
      </c>
      <c r="C22" s="50">
        <v>2016</v>
      </c>
      <c r="D22" s="61">
        <v>2016</v>
      </c>
      <c r="E22" s="61">
        <v>2017</v>
      </c>
      <c r="F22" s="50">
        <v>2017</v>
      </c>
      <c r="G22" s="61">
        <v>2016</v>
      </c>
      <c r="H22" s="53">
        <v>2017</v>
      </c>
      <c r="I22" s="50">
        <v>2017</v>
      </c>
      <c r="J22" s="59" t="s">
        <v>165</v>
      </c>
      <c r="K22" s="53">
        <v>2016</v>
      </c>
      <c r="L22" s="50">
        <v>2015</v>
      </c>
      <c r="M22" s="61">
        <v>2017</v>
      </c>
      <c r="N22" s="53">
        <v>2015</v>
      </c>
      <c r="O22" s="50">
        <v>2018</v>
      </c>
      <c r="P22" s="61">
        <v>2017</v>
      </c>
      <c r="Q22" s="53">
        <v>2015</v>
      </c>
      <c r="R22" s="53">
        <v>2014</v>
      </c>
      <c r="S22" s="50">
        <v>2015</v>
      </c>
      <c r="T22" s="61">
        <v>2017</v>
      </c>
      <c r="U22" s="50">
        <v>2015</v>
      </c>
      <c r="V22" s="61">
        <v>2016</v>
      </c>
      <c r="W22" s="62">
        <v>2016</v>
      </c>
      <c r="X22" s="190">
        <v>2017</v>
      </c>
      <c r="Y22" s="3" t="s">
        <v>76</v>
      </c>
    </row>
    <row r="23" spans="1:25" x14ac:dyDescent="0.25">
      <c r="A23" s="20" t="s">
        <v>78</v>
      </c>
      <c r="B23" s="61"/>
      <c r="C23" s="50"/>
      <c r="D23" s="61"/>
      <c r="E23" s="61"/>
      <c r="F23" s="50"/>
      <c r="G23" s="61"/>
      <c r="H23" s="53"/>
      <c r="I23" s="50"/>
      <c r="J23" s="61"/>
      <c r="K23" s="53"/>
      <c r="L23" s="50"/>
      <c r="M23" s="61"/>
      <c r="N23" s="53"/>
      <c r="O23" s="50"/>
      <c r="P23" s="61"/>
      <c r="Q23" s="53"/>
      <c r="R23" s="53"/>
      <c r="S23" s="50"/>
      <c r="T23" s="61"/>
      <c r="U23" s="50"/>
      <c r="V23" s="61"/>
      <c r="W23" s="62"/>
      <c r="X23" s="190"/>
      <c r="Y23" s="3" t="s">
        <v>42</v>
      </c>
    </row>
    <row r="24" spans="1:25" x14ac:dyDescent="0.25">
      <c r="A24" s="20" t="s">
        <v>146</v>
      </c>
      <c r="B24" s="84"/>
      <c r="C24" s="83"/>
      <c r="D24" s="84"/>
      <c r="E24" s="84"/>
      <c r="F24" s="83"/>
      <c r="G24" s="84"/>
      <c r="H24" s="82"/>
      <c r="I24" s="83"/>
      <c r="J24" s="84"/>
      <c r="K24" s="82"/>
      <c r="L24" s="83"/>
      <c r="M24" s="84"/>
      <c r="N24" s="82"/>
      <c r="O24" s="83"/>
      <c r="P24" s="84"/>
      <c r="Q24" s="82"/>
      <c r="R24" s="82"/>
      <c r="S24" s="83"/>
      <c r="T24" s="84"/>
      <c r="U24" s="83"/>
      <c r="V24" s="84"/>
      <c r="W24" s="85"/>
      <c r="X24" s="193"/>
    </row>
    <row r="25" spans="1:25" x14ac:dyDescent="0.25">
      <c r="A25" s="20" t="s">
        <v>79</v>
      </c>
      <c r="B25" s="84"/>
      <c r="C25" s="83"/>
      <c r="D25" s="84"/>
      <c r="E25" s="84"/>
      <c r="F25" s="83"/>
      <c r="G25" s="84"/>
      <c r="H25" s="82"/>
      <c r="I25" s="83"/>
      <c r="J25" s="84"/>
      <c r="K25" s="82"/>
      <c r="L25" s="83"/>
      <c r="M25" s="84"/>
      <c r="N25" s="82"/>
      <c r="O25" s="83"/>
      <c r="P25" s="84"/>
      <c r="Q25" s="82"/>
      <c r="R25" s="82"/>
      <c r="S25" s="83"/>
      <c r="T25" s="84"/>
      <c r="U25" s="83"/>
      <c r="V25" s="84"/>
      <c r="W25" s="85"/>
      <c r="X25" s="193"/>
    </row>
    <row r="26" spans="1:25" x14ac:dyDescent="0.25">
      <c r="A26" s="20" t="s">
        <v>80</v>
      </c>
      <c r="B26" s="84"/>
      <c r="C26" s="83"/>
      <c r="D26" s="84"/>
      <c r="E26" s="84"/>
      <c r="F26" s="83"/>
      <c r="G26" s="84"/>
      <c r="H26" s="82"/>
      <c r="I26" s="83"/>
      <c r="J26" s="84"/>
      <c r="K26" s="82"/>
      <c r="L26" s="83"/>
      <c r="M26" s="84"/>
      <c r="N26" s="82"/>
      <c r="O26" s="83"/>
      <c r="P26" s="84"/>
      <c r="Q26" s="82"/>
      <c r="R26" s="82"/>
      <c r="S26" s="83"/>
      <c r="T26" s="84"/>
      <c r="U26" s="83"/>
      <c r="V26" s="84"/>
      <c r="W26" s="85"/>
      <c r="X26" s="193"/>
      <c r="Y26" s="3" t="s">
        <v>42</v>
      </c>
    </row>
    <row r="27" spans="1:25" x14ac:dyDescent="0.25">
      <c r="A27" s="20" t="s">
        <v>129</v>
      </c>
      <c r="B27" s="84"/>
      <c r="C27" s="83"/>
      <c r="D27" s="84"/>
      <c r="E27" s="84"/>
      <c r="F27" s="83"/>
      <c r="G27" s="84"/>
      <c r="H27" s="82"/>
      <c r="I27" s="83" t="s">
        <v>166</v>
      </c>
      <c r="J27" s="84"/>
      <c r="K27" s="82"/>
      <c r="L27" s="83"/>
      <c r="M27" s="84"/>
      <c r="N27" s="82"/>
      <c r="O27" s="83"/>
      <c r="P27" s="84"/>
      <c r="Q27" s="82"/>
      <c r="R27" s="82"/>
      <c r="S27" s="83"/>
      <c r="T27" s="84"/>
      <c r="U27" s="83"/>
      <c r="V27" s="84"/>
      <c r="W27" s="85"/>
      <c r="X27" s="193"/>
    </row>
    <row r="28" spans="1:25" x14ac:dyDescent="0.25">
      <c r="A28" s="20" t="s">
        <v>167</v>
      </c>
      <c r="B28" s="84">
        <v>14</v>
      </c>
      <c r="C28" s="83">
        <v>14</v>
      </c>
      <c r="D28" s="84">
        <v>0</v>
      </c>
      <c r="E28" s="84">
        <v>14</v>
      </c>
      <c r="F28" s="83">
        <v>14</v>
      </c>
      <c r="G28" s="84">
        <v>14</v>
      </c>
      <c r="H28" s="82">
        <v>14</v>
      </c>
      <c r="I28" s="83">
        <v>14</v>
      </c>
      <c r="J28" s="84">
        <v>14</v>
      </c>
      <c r="K28" s="82">
        <v>14</v>
      </c>
      <c r="L28" s="83">
        <v>14</v>
      </c>
      <c r="M28" s="84">
        <v>14</v>
      </c>
      <c r="N28" s="82">
        <v>14</v>
      </c>
      <c r="O28" s="83">
        <v>14</v>
      </c>
      <c r="P28" s="84">
        <v>0</v>
      </c>
      <c r="Q28" s="82">
        <v>14</v>
      </c>
      <c r="R28" s="82">
        <v>14</v>
      </c>
      <c r="S28" s="83">
        <v>0</v>
      </c>
      <c r="T28" s="84">
        <v>14</v>
      </c>
      <c r="U28" s="83">
        <v>14</v>
      </c>
      <c r="V28" s="84">
        <v>0</v>
      </c>
      <c r="W28" s="85">
        <v>0</v>
      </c>
      <c r="X28" s="193"/>
    </row>
    <row r="29" spans="1:25" x14ac:dyDescent="0.25">
      <c r="A29" s="20" t="s">
        <v>83</v>
      </c>
      <c r="B29" s="84"/>
      <c r="C29" s="83"/>
      <c r="D29" s="84"/>
      <c r="E29" s="84"/>
      <c r="F29" s="83"/>
      <c r="G29" s="93"/>
      <c r="H29" s="82"/>
      <c r="I29" s="83"/>
      <c r="J29" s="84"/>
      <c r="K29" s="82"/>
      <c r="L29" s="83"/>
      <c r="M29" s="84"/>
      <c r="N29" s="82"/>
      <c r="O29" s="83"/>
      <c r="P29" s="84"/>
      <c r="Q29" s="82"/>
      <c r="R29" s="82"/>
      <c r="S29" s="83"/>
      <c r="T29" s="84"/>
      <c r="U29" s="83"/>
      <c r="V29" s="84"/>
      <c r="W29" s="85"/>
      <c r="X29" s="193"/>
    </row>
    <row r="30" spans="1:25" x14ac:dyDescent="0.25">
      <c r="A30" s="20" t="s">
        <v>84</v>
      </c>
      <c r="B30" s="314">
        <v>0</v>
      </c>
      <c r="C30" s="314"/>
      <c r="D30" s="2">
        <v>0</v>
      </c>
      <c r="E30" s="314">
        <v>0</v>
      </c>
      <c r="F30" s="314"/>
      <c r="G30" s="314" t="s">
        <v>37</v>
      </c>
      <c r="H30" s="314"/>
      <c r="I30" s="314"/>
      <c r="J30" s="314"/>
      <c r="K30" s="314"/>
      <c r="L30" s="314"/>
      <c r="M30" s="314">
        <v>20</v>
      </c>
      <c r="N30" s="314"/>
      <c r="O30" s="314"/>
      <c r="P30" s="314">
        <v>7</v>
      </c>
      <c r="Q30" s="314"/>
      <c r="R30" s="314"/>
      <c r="S30" s="314"/>
      <c r="T30" s="314"/>
      <c r="U30" s="314"/>
      <c r="V30" s="315"/>
      <c r="W30" s="315"/>
      <c r="X30" s="193"/>
    </row>
    <row r="31" spans="1:25" x14ac:dyDescent="0.25">
      <c r="A31" s="20" t="s">
        <v>85</v>
      </c>
      <c r="B31" s="314">
        <f>B28+C28-B29-C29-B30</f>
        <v>28</v>
      </c>
      <c r="C31" s="314"/>
      <c r="D31" s="2">
        <f>D28-D29-D30</f>
        <v>0</v>
      </c>
      <c r="E31" s="314">
        <f>E28+F28-E29-F29-E30</f>
        <v>28</v>
      </c>
      <c r="F31" s="314"/>
      <c r="G31" s="314" t="e">
        <f>G28+H28+I28-G29-H29-I29-G30</f>
        <v>#VALUE!</v>
      </c>
      <c r="H31" s="314"/>
      <c r="I31" s="314"/>
      <c r="J31" s="314">
        <f>J28+K28+L28-J29-K29-L29-J30</f>
        <v>42</v>
      </c>
      <c r="K31" s="314"/>
      <c r="L31" s="314"/>
      <c r="M31" s="314">
        <f>M28+N28+O28-M29-N29-O29-M30</f>
        <v>22</v>
      </c>
      <c r="N31" s="314"/>
      <c r="O31" s="314"/>
      <c r="P31" s="314">
        <f>P28+Q28+R28+S28-P29-Q29-R29-S29-P30</f>
        <v>21</v>
      </c>
      <c r="Q31" s="314"/>
      <c r="R31" s="314"/>
      <c r="S31" s="314"/>
      <c r="T31" s="314">
        <f>T28+U28-T29-U29-T30</f>
        <v>28</v>
      </c>
      <c r="U31" s="314"/>
      <c r="V31" s="315">
        <f>V28+W28-V29-W29-V30</f>
        <v>0</v>
      </c>
      <c r="W31" s="315"/>
      <c r="X31" s="193"/>
    </row>
    <row r="32" spans="1:25" x14ac:dyDescent="0.25">
      <c r="A32" s="20" t="s">
        <v>86</v>
      </c>
      <c r="B32" s="314"/>
      <c r="C32" s="314"/>
      <c r="D32" s="2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5"/>
      <c r="W32" s="315"/>
      <c r="X32" s="193"/>
    </row>
    <row r="33" spans="1:24" x14ac:dyDescent="0.25">
      <c r="A33" s="20" t="s">
        <v>130</v>
      </c>
      <c r="B33" s="314" t="s">
        <v>114</v>
      </c>
      <c r="C33" s="314"/>
      <c r="D33" s="2" t="s">
        <v>114</v>
      </c>
      <c r="E33" s="314" t="s">
        <v>114</v>
      </c>
      <c r="F33" s="314"/>
      <c r="G33" s="314"/>
      <c r="H33" s="314"/>
      <c r="I33" s="314"/>
      <c r="J33" s="314"/>
      <c r="K33" s="314"/>
      <c r="L33" s="314"/>
      <c r="M33" s="314" t="s">
        <v>147</v>
      </c>
      <c r="N33" s="314"/>
      <c r="O33" s="314"/>
      <c r="P33" s="316"/>
      <c r="Q33" s="316"/>
      <c r="R33" s="316"/>
      <c r="S33" s="316"/>
      <c r="T33" s="314"/>
      <c r="U33" s="314"/>
      <c r="V33" s="315" t="s">
        <v>114</v>
      </c>
      <c r="W33" s="315"/>
      <c r="X33" s="193"/>
    </row>
    <row r="34" spans="1:24" s="118" customFormat="1" x14ac:dyDescent="0.25">
      <c r="A34" s="194"/>
      <c r="B34" s="195"/>
      <c r="C34" s="196"/>
      <c r="D34" s="195"/>
      <c r="E34" s="195"/>
      <c r="F34" s="196"/>
      <c r="G34" s="195"/>
      <c r="H34" s="197"/>
      <c r="I34" s="196"/>
      <c r="J34" s="195"/>
      <c r="K34" s="197"/>
      <c r="L34" s="196"/>
      <c r="M34" s="195"/>
      <c r="N34" s="197"/>
      <c r="O34" s="196"/>
      <c r="P34" s="195"/>
      <c r="Q34" s="197"/>
      <c r="R34" s="197"/>
      <c r="S34" s="196"/>
      <c r="T34" s="195"/>
      <c r="U34" s="196"/>
      <c r="V34" s="197"/>
      <c r="W34" s="198"/>
      <c r="X34" s="199"/>
    </row>
    <row r="35" spans="1:24" s="64" customFormat="1" x14ac:dyDescent="0.25">
      <c r="A35" s="62" t="s">
        <v>91</v>
      </c>
      <c r="B35" s="52"/>
      <c r="C35" s="119"/>
      <c r="D35" s="52"/>
      <c r="E35" s="52"/>
      <c r="F35" s="119"/>
      <c r="G35" s="52"/>
      <c r="I35" s="119"/>
      <c r="J35" s="52"/>
      <c r="L35" s="119"/>
      <c r="M35" s="52"/>
      <c r="O35" s="119"/>
      <c r="P35" s="52"/>
      <c r="S35" s="119"/>
      <c r="T35" s="52"/>
      <c r="U35" s="119"/>
      <c r="V35" s="52"/>
      <c r="X35" s="200"/>
    </row>
    <row r="36" spans="1:24" s="121" customFormat="1" x14ac:dyDescent="0.25">
      <c r="A36" s="86" t="s">
        <v>93</v>
      </c>
      <c r="B36" s="90"/>
      <c r="C36" s="120"/>
      <c r="D36" s="90"/>
      <c r="E36" s="90"/>
      <c r="F36" s="120"/>
      <c r="G36" s="90"/>
      <c r="I36" s="120"/>
      <c r="J36" s="90"/>
      <c r="L36" s="120"/>
      <c r="M36" s="90"/>
      <c r="O36" s="120"/>
      <c r="P36" s="90"/>
      <c r="S36" s="120"/>
      <c r="T36" s="90"/>
      <c r="U36" s="120"/>
      <c r="V36" s="90"/>
      <c r="X36" s="201"/>
    </row>
    <row r="37" spans="1:24" s="122" customFormat="1" x14ac:dyDescent="0.25">
      <c r="A37" s="81" t="s">
        <v>94</v>
      </c>
      <c r="B37" s="78"/>
      <c r="C37" s="175"/>
      <c r="D37" s="78"/>
      <c r="E37" s="78"/>
      <c r="F37" s="175"/>
      <c r="G37" s="78"/>
      <c r="I37" s="175"/>
      <c r="J37" s="78"/>
      <c r="L37" s="175"/>
      <c r="M37" s="78"/>
      <c r="O37" s="175"/>
      <c r="P37" s="78"/>
      <c r="S37" s="175"/>
      <c r="T37" s="78"/>
      <c r="U37" s="175"/>
      <c r="V37" s="78"/>
      <c r="X37" s="202"/>
    </row>
    <row r="38" spans="1:24" s="58" customFormat="1" x14ac:dyDescent="0.25">
      <c r="A38" s="70" t="s">
        <v>95</v>
      </c>
      <c r="B38" s="57"/>
      <c r="C38" s="123"/>
      <c r="D38" s="57"/>
      <c r="E38" s="57"/>
      <c r="F38" s="123"/>
      <c r="G38" s="57"/>
      <c r="I38" s="123"/>
      <c r="J38" s="57"/>
      <c r="L38" s="123"/>
      <c r="M38" s="57"/>
      <c r="O38" s="123"/>
      <c r="P38" s="57"/>
      <c r="S38" s="123"/>
      <c r="T38" s="57"/>
      <c r="U38" s="123"/>
      <c r="V38" s="57"/>
      <c r="X38" s="192"/>
    </row>
    <row r="39" spans="1:24" s="126" customFormat="1" x14ac:dyDescent="0.25">
      <c r="A39" s="124" t="s">
        <v>96</v>
      </c>
      <c r="B39" s="125"/>
      <c r="C39" s="176"/>
      <c r="D39" s="125"/>
      <c r="E39" s="125"/>
      <c r="F39" s="176"/>
      <c r="G39" s="125"/>
      <c r="I39" s="176"/>
      <c r="J39" s="125"/>
      <c r="L39" s="176"/>
      <c r="M39" s="125"/>
      <c r="O39" s="176"/>
      <c r="P39" s="125"/>
      <c r="S39" s="176"/>
      <c r="T39" s="125"/>
      <c r="U39" s="176"/>
      <c r="V39" s="125"/>
      <c r="X39" s="203"/>
    </row>
    <row r="40" spans="1:24" s="132" customFormat="1" x14ac:dyDescent="0.25">
      <c r="A40" s="128" t="s">
        <v>97</v>
      </c>
      <c r="B40" s="178"/>
      <c r="C40" s="179"/>
      <c r="D40" s="178"/>
      <c r="E40" s="178"/>
      <c r="F40" s="179"/>
      <c r="G40" s="178"/>
      <c r="I40" s="179"/>
      <c r="J40" s="178"/>
      <c r="L40" s="179"/>
      <c r="M40" s="178"/>
      <c r="O40" s="179"/>
      <c r="P40" s="178"/>
      <c r="S40" s="179"/>
      <c r="T40" s="178"/>
      <c r="U40" s="179"/>
      <c r="V40" s="178"/>
      <c r="X40" s="204"/>
    </row>
  </sheetData>
  <mergeCells count="32">
    <mergeCell ref="P30:S30"/>
    <mergeCell ref="T30:U30"/>
    <mergeCell ref="V30:W30"/>
    <mergeCell ref="B31:C31"/>
    <mergeCell ref="E31:F31"/>
    <mergeCell ref="G31:I31"/>
    <mergeCell ref="J31:L31"/>
    <mergeCell ref="M31:O31"/>
    <mergeCell ref="P31:S31"/>
    <mergeCell ref="T31:U31"/>
    <mergeCell ref="V31:W31"/>
    <mergeCell ref="B30:C30"/>
    <mergeCell ref="E30:F30"/>
    <mergeCell ref="G30:I30"/>
    <mergeCell ref="J30:L30"/>
    <mergeCell ref="M30:O30"/>
    <mergeCell ref="P32:S32"/>
    <mergeCell ref="T32:U32"/>
    <mergeCell ref="V32:W32"/>
    <mergeCell ref="B33:C33"/>
    <mergeCell ref="E33:F33"/>
    <mergeCell ref="G33:I33"/>
    <mergeCell ref="J33:L33"/>
    <mergeCell ref="M33:O33"/>
    <mergeCell ref="P33:S33"/>
    <mergeCell ref="T33:U33"/>
    <mergeCell ref="V33:W33"/>
    <mergeCell ref="B32:C32"/>
    <mergeCell ref="E32:F32"/>
    <mergeCell ref="G32:I32"/>
    <mergeCell ref="J32:L32"/>
    <mergeCell ref="M32:O32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J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30" sqref="P30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5" width="7.28515625" style="4" customWidth="1"/>
    <col min="6" max="6" width="7.28515625" style="5" customWidth="1"/>
    <col min="7" max="7" width="7.28515625" style="4" customWidth="1"/>
    <col min="8" max="8" width="7.28515625" style="3" customWidth="1"/>
    <col min="9" max="9" width="7.28515625" style="5" customWidth="1"/>
    <col min="10" max="10" width="7.28515625" style="4" customWidth="1"/>
    <col min="11" max="11" width="7.28515625" style="3" customWidth="1"/>
    <col min="12" max="12" width="7.28515625" style="5" customWidth="1"/>
    <col min="13" max="13" width="7.28515625" style="4" customWidth="1"/>
    <col min="14" max="14" width="7.28515625" style="3" customWidth="1"/>
    <col min="15" max="15" width="7.28515625" style="5" customWidth="1"/>
    <col min="16" max="16" width="7.28515625" style="4" customWidth="1"/>
    <col min="17" max="18" width="7.28515625" style="3" customWidth="1"/>
    <col min="19" max="19" width="7.28515625" style="5" customWidth="1"/>
    <col min="20" max="20" width="7.28515625" style="4" customWidth="1"/>
    <col min="21" max="21" width="7.28515625" style="5" customWidth="1"/>
    <col min="22" max="22" width="7.28515625" style="4" customWidth="1"/>
    <col min="23" max="23" width="7.28515625" style="5" customWidth="1"/>
    <col min="24" max="1024" width="8.85546875" style="3"/>
  </cols>
  <sheetData>
    <row r="1" spans="1:25" s="19" customFormat="1" x14ac:dyDescent="0.25">
      <c r="A1" s="7"/>
      <c r="B1" s="181" t="s">
        <v>0</v>
      </c>
      <c r="C1" s="182" t="s">
        <v>1</v>
      </c>
      <c r="D1" s="181" t="s">
        <v>99</v>
      </c>
      <c r="E1" s="181" t="s">
        <v>2</v>
      </c>
      <c r="F1" s="182" t="s">
        <v>3</v>
      </c>
      <c r="G1" s="181" t="s">
        <v>4</v>
      </c>
      <c r="H1" s="183" t="s">
        <v>5</v>
      </c>
      <c r="I1" s="182" t="s">
        <v>6</v>
      </c>
      <c r="J1" s="181" t="s">
        <v>7</v>
      </c>
      <c r="K1" s="183" t="s">
        <v>8</v>
      </c>
      <c r="L1" s="182" t="s">
        <v>9</v>
      </c>
      <c r="M1" s="181" t="s">
        <v>10</v>
      </c>
      <c r="N1" s="183" t="s">
        <v>11</v>
      </c>
      <c r="O1" s="182" t="s">
        <v>13</v>
      </c>
      <c r="P1" s="181" t="s">
        <v>14</v>
      </c>
      <c r="Q1" s="183" t="s">
        <v>15</v>
      </c>
      <c r="R1" s="183" t="s">
        <v>16</v>
      </c>
      <c r="S1" s="182" t="s">
        <v>101</v>
      </c>
      <c r="T1" s="181" t="s">
        <v>19</v>
      </c>
      <c r="U1" s="182" t="s">
        <v>20</v>
      </c>
      <c r="V1" s="181" t="s">
        <v>21</v>
      </c>
      <c r="W1" s="182" t="s">
        <v>102</v>
      </c>
    </row>
    <row r="2" spans="1:25" x14ac:dyDescent="0.25">
      <c r="A2" s="20" t="s">
        <v>24</v>
      </c>
      <c r="B2" s="186" t="s">
        <v>114</v>
      </c>
      <c r="C2" s="168" t="s">
        <v>114</v>
      </c>
      <c r="D2" s="186" t="s">
        <v>168</v>
      </c>
      <c r="E2" s="186" t="s">
        <v>169</v>
      </c>
      <c r="F2" s="168" t="s">
        <v>169</v>
      </c>
      <c r="G2" s="186" t="s">
        <v>169</v>
      </c>
      <c r="H2" s="187" t="s">
        <v>168</v>
      </c>
      <c r="I2" s="168" t="s">
        <v>168</v>
      </c>
      <c r="J2" s="186" t="s">
        <v>170</v>
      </c>
      <c r="K2" s="187" t="s">
        <v>170</v>
      </c>
      <c r="L2" s="168" t="s">
        <v>170</v>
      </c>
      <c r="M2" s="186" t="s">
        <v>169</v>
      </c>
      <c r="N2" s="187" t="s">
        <v>169</v>
      </c>
      <c r="O2" s="168" t="s">
        <v>169</v>
      </c>
      <c r="P2" s="186" t="s">
        <v>169</v>
      </c>
      <c r="Q2" s="187" t="s">
        <v>169</v>
      </c>
      <c r="R2" s="187" t="s">
        <v>169</v>
      </c>
      <c r="S2" s="168" t="s">
        <v>169</v>
      </c>
      <c r="T2" s="186" t="s">
        <v>171</v>
      </c>
      <c r="U2" s="168" t="s">
        <v>171</v>
      </c>
      <c r="V2" s="186" t="s">
        <v>148</v>
      </c>
      <c r="W2" s="168" t="s">
        <v>148</v>
      </c>
    </row>
    <row r="3" spans="1:25" s="38" customFormat="1" x14ac:dyDescent="0.25">
      <c r="A3" s="29" t="s">
        <v>25</v>
      </c>
      <c r="B3" s="158" t="s">
        <v>172</v>
      </c>
      <c r="C3" s="158" t="s">
        <v>172</v>
      </c>
      <c r="D3" s="158" t="s">
        <v>173</v>
      </c>
      <c r="E3" s="158" t="s">
        <v>174</v>
      </c>
      <c r="F3" s="158" t="s">
        <v>175</v>
      </c>
      <c r="G3" s="158" t="s">
        <v>175</v>
      </c>
      <c r="H3" s="158" t="s">
        <v>175</v>
      </c>
      <c r="I3" s="158" t="s">
        <v>175</v>
      </c>
      <c r="J3" s="158" t="s">
        <v>173</v>
      </c>
      <c r="K3" s="158" t="s">
        <v>173</v>
      </c>
      <c r="L3" s="158" t="s">
        <v>173</v>
      </c>
      <c r="M3" s="158" t="s">
        <v>176</v>
      </c>
      <c r="N3" s="158" t="s">
        <v>173</v>
      </c>
      <c r="O3" s="37" t="s">
        <v>176</v>
      </c>
      <c r="P3" s="37" t="s">
        <v>173</v>
      </c>
      <c r="Q3" s="37" t="s">
        <v>173</v>
      </c>
      <c r="R3" s="37" t="s">
        <v>173</v>
      </c>
      <c r="S3" s="37" t="s">
        <v>177</v>
      </c>
      <c r="T3" s="37" t="s">
        <v>173</v>
      </c>
      <c r="U3" s="37" t="s">
        <v>173</v>
      </c>
      <c r="V3" s="37" t="s">
        <v>173</v>
      </c>
      <c r="W3" s="37" t="s">
        <v>173</v>
      </c>
    </row>
    <row r="4" spans="1:25" s="38" customFormat="1" x14ac:dyDescent="0.25">
      <c r="A4" s="29" t="s">
        <v>31</v>
      </c>
      <c r="B4" s="158" t="s">
        <v>133</v>
      </c>
      <c r="C4" s="158" t="s">
        <v>133</v>
      </c>
      <c r="D4" s="158" t="s">
        <v>133</v>
      </c>
      <c r="E4" s="158" t="s">
        <v>133</v>
      </c>
      <c r="F4" s="158" t="s">
        <v>133</v>
      </c>
      <c r="G4" s="158" t="s">
        <v>133</v>
      </c>
      <c r="H4" s="158" t="s">
        <v>133</v>
      </c>
      <c r="I4" s="158" t="s">
        <v>133</v>
      </c>
      <c r="J4" s="37" t="s">
        <v>133</v>
      </c>
      <c r="K4" s="37" t="s">
        <v>133</v>
      </c>
      <c r="L4" s="37" t="s">
        <v>133</v>
      </c>
      <c r="M4" s="158" t="s">
        <v>133</v>
      </c>
      <c r="N4" s="158" t="s">
        <v>133</v>
      </c>
      <c r="O4" s="37" t="s">
        <v>133</v>
      </c>
      <c r="P4" s="37" t="s">
        <v>133</v>
      </c>
      <c r="Q4" s="37" t="s">
        <v>133</v>
      </c>
      <c r="R4" s="37" t="s">
        <v>133</v>
      </c>
      <c r="S4" s="37" t="s">
        <v>133</v>
      </c>
      <c r="T4" s="158" t="s">
        <v>133</v>
      </c>
      <c r="U4" s="158" t="s">
        <v>133</v>
      </c>
      <c r="V4" s="158" t="s">
        <v>133</v>
      </c>
      <c r="W4" s="158" t="s">
        <v>133</v>
      </c>
    </row>
    <row r="5" spans="1:25" x14ac:dyDescent="0.25">
      <c r="A5" s="20" t="s">
        <v>38</v>
      </c>
      <c r="B5" s="61">
        <v>2016</v>
      </c>
      <c r="C5" s="50">
        <v>2016</v>
      </c>
      <c r="D5" s="61">
        <v>2016</v>
      </c>
      <c r="E5" s="59">
        <v>2008</v>
      </c>
      <c r="F5" s="60">
        <v>2008</v>
      </c>
      <c r="G5" s="61">
        <v>2009</v>
      </c>
      <c r="H5" s="53">
        <v>2016</v>
      </c>
      <c r="I5" s="50">
        <v>2013</v>
      </c>
      <c r="J5" s="59" t="s">
        <v>136</v>
      </c>
      <c r="K5" s="53">
        <v>2016</v>
      </c>
      <c r="L5" s="50">
        <v>2015</v>
      </c>
      <c r="M5" s="59" t="s">
        <v>178</v>
      </c>
      <c r="N5" s="53">
        <v>2015</v>
      </c>
      <c r="O5" s="50">
        <v>2014</v>
      </c>
      <c r="P5" s="61">
        <v>2011</v>
      </c>
      <c r="Q5" s="71">
        <v>2008</v>
      </c>
      <c r="R5" s="53">
        <v>2014</v>
      </c>
      <c r="S5" s="50">
        <v>2015</v>
      </c>
      <c r="T5" s="61">
        <v>2015</v>
      </c>
      <c r="U5" s="60">
        <v>2009</v>
      </c>
      <c r="V5" s="61">
        <v>2016</v>
      </c>
      <c r="W5" s="50">
        <v>2016</v>
      </c>
    </row>
    <row r="6" spans="1:25" x14ac:dyDescent="0.25">
      <c r="A6" s="20" t="s">
        <v>39</v>
      </c>
      <c r="B6" s="84"/>
      <c r="C6" s="83"/>
      <c r="D6" s="84"/>
      <c r="E6" s="59"/>
      <c r="F6" s="60"/>
      <c r="G6" s="84"/>
      <c r="H6" s="82"/>
      <c r="I6" s="83"/>
      <c r="J6" s="61" t="s">
        <v>150</v>
      </c>
      <c r="K6" s="53" t="s">
        <v>150</v>
      </c>
      <c r="L6" s="50" t="s">
        <v>150</v>
      </c>
      <c r="M6" s="61" t="s">
        <v>150</v>
      </c>
      <c r="N6" s="53" t="s">
        <v>150</v>
      </c>
      <c r="O6" s="50" t="s">
        <v>150</v>
      </c>
      <c r="P6" s="84"/>
      <c r="Q6" s="82"/>
      <c r="R6" s="82"/>
      <c r="S6" s="83"/>
      <c r="T6" s="84"/>
      <c r="U6" s="83"/>
      <c r="V6" s="84"/>
      <c r="W6" s="83"/>
      <c r="Y6" s="3" t="s">
        <v>40</v>
      </c>
    </row>
    <row r="7" spans="1:25" x14ac:dyDescent="0.25">
      <c r="A7" s="20" t="s">
        <v>41</v>
      </c>
      <c r="B7" s="61"/>
      <c r="C7" s="50"/>
      <c r="D7" s="61"/>
      <c r="E7" s="59"/>
      <c r="F7" s="60"/>
      <c r="G7" s="61"/>
      <c r="H7" s="53"/>
      <c r="I7" s="50"/>
      <c r="J7" s="61"/>
      <c r="K7" s="53"/>
      <c r="L7" s="50"/>
      <c r="M7" s="59"/>
      <c r="N7" s="53"/>
      <c r="O7" s="50"/>
      <c r="P7" s="61"/>
      <c r="Q7" s="53"/>
      <c r="R7" s="53"/>
      <c r="S7" s="50"/>
      <c r="T7" s="61"/>
      <c r="U7" s="50"/>
      <c r="V7" s="61"/>
      <c r="W7" s="50"/>
      <c r="Y7" s="3" t="s">
        <v>42</v>
      </c>
    </row>
    <row r="8" spans="1:25" x14ac:dyDescent="0.25">
      <c r="A8" s="20" t="s">
        <v>43</v>
      </c>
      <c r="B8" s="61"/>
      <c r="C8" s="50"/>
      <c r="D8" s="61"/>
      <c r="E8" s="59"/>
      <c r="F8" s="60"/>
      <c r="G8" s="61"/>
      <c r="H8" s="65"/>
      <c r="I8" s="50"/>
      <c r="J8" s="61"/>
      <c r="K8" s="53"/>
      <c r="L8" s="50"/>
      <c r="M8" s="61"/>
      <c r="N8" s="53"/>
      <c r="O8" s="50"/>
      <c r="P8" s="61"/>
      <c r="Q8" s="53"/>
      <c r="R8" s="53"/>
      <c r="S8" s="50"/>
      <c r="T8" s="61"/>
      <c r="U8" s="50"/>
      <c r="V8" s="61"/>
      <c r="W8" s="50"/>
      <c r="Y8" s="3" t="s">
        <v>42</v>
      </c>
    </row>
    <row r="9" spans="1:25" x14ac:dyDescent="0.25">
      <c r="A9" s="20" t="s">
        <v>44</v>
      </c>
      <c r="B9" s="59"/>
      <c r="C9" s="60"/>
      <c r="D9" s="205"/>
      <c r="E9" s="59"/>
      <c r="F9" s="60"/>
      <c r="G9" s="59"/>
      <c r="H9" s="65"/>
      <c r="I9" s="60"/>
      <c r="J9" s="59"/>
      <c r="K9" s="71"/>
      <c r="L9" s="191"/>
      <c r="M9" s="59"/>
      <c r="N9" s="71"/>
      <c r="O9" s="60"/>
      <c r="P9" s="59"/>
      <c r="Q9" s="71"/>
      <c r="R9" s="71"/>
      <c r="S9" s="60"/>
      <c r="T9" s="59"/>
      <c r="U9" s="60"/>
      <c r="V9" s="59"/>
      <c r="W9" s="60"/>
      <c r="Y9" s="3" t="s">
        <v>45</v>
      </c>
    </row>
    <row r="10" spans="1:25" x14ac:dyDescent="0.25">
      <c r="A10" s="20" t="s">
        <v>46</v>
      </c>
      <c r="B10" s="61">
        <v>2016</v>
      </c>
      <c r="C10" s="50">
        <v>2016</v>
      </c>
      <c r="D10" s="61">
        <v>2016</v>
      </c>
      <c r="E10" s="59">
        <v>2012</v>
      </c>
      <c r="F10" s="60">
        <v>2012</v>
      </c>
      <c r="G10" s="61">
        <v>2015</v>
      </c>
      <c r="H10" s="65">
        <v>2013</v>
      </c>
      <c r="I10" s="50">
        <v>2013</v>
      </c>
      <c r="J10" s="59">
        <v>2010</v>
      </c>
      <c r="K10" s="53">
        <v>2016</v>
      </c>
      <c r="L10" s="50">
        <v>2015</v>
      </c>
      <c r="M10" s="61">
        <v>2015</v>
      </c>
      <c r="N10" s="71">
        <v>2013</v>
      </c>
      <c r="O10" s="74">
        <v>2014</v>
      </c>
      <c r="P10" s="59">
        <v>2011</v>
      </c>
      <c r="Q10" s="71">
        <v>2012</v>
      </c>
      <c r="R10" s="71" t="s">
        <v>151</v>
      </c>
      <c r="S10" s="50">
        <v>2015</v>
      </c>
      <c r="T10" s="59">
        <v>2011</v>
      </c>
      <c r="U10" s="60" t="s">
        <v>179</v>
      </c>
      <c r="V10" s="61">
        <v>2014</v>
      </c>
      <c r="W10" s="50">
        <v>2016</v>
      </c>
      <c r="Y10" s="3" t="s">
        <v>47</v>
      </c>
    </row>
    <row r="11" spans="1:25" x14ac:dyDescent="0.25">
      <c r="A11" s="20" t="s">
        <v>50</v>
      </c>
      <c r="B11" s="61">
        <v>2016</v>
      </c>
      <c r="C11" s="50">
        <v>2016</v>
      </c>
      <c r="D11" s="61">
        <v>2016</v>
      </c>
      <c r="E11" s="59">
        <v>2010</v>
      </c>
      <c r="F11" s="60">
        <v>2012</v>
      </c>
      <c r="G11" s="61">
        <v>2015</v>
      </c>
      <c r="H11" s="53">
        <v>2016</v>
      </c>
      <c r="I11" s="60">
        <v>2013</v>
      </c>
      <c r="J11" s="59">
        <v>2013</v>
      </c>
      <c r="K11" s="53">
        <v>2016</v>
      </c>
      <c r="L11" s="60">
        <v>2012</v>
      </c>
      <c r="M11" s="59">
        <v>2013</v>
      </c>
      <c r="N11" s="71">
        <v>2013</v>
      </c>
      <c r="O11" s="50">
        <v>2014</v>
      </c>
      <c r="P11" s="59">
        <v>2014</v>
      </c>
      <c r="Q11" s="71">
        <v>2012</v>
      </c>
      <c r="R11" s="71">
        <v>2012</v>
      </c>
      <c r="S11" s="50">
        <v>2015</v>
      </c>
      <c r="T11" s="59">
        <v>2011</v>
      </c>
      <c r="U11" s="50">
        <v>2015</v>
      </c>
      <c r="V11" s="61">
        <v>2016</v>
      </c>
      <c r="W11" s="50">
        <v>2016</v>
      </c>
      <c r="Y11" s="3" t="s">
        <v>51</v>
      </c>
    </row>
    <row r="12" spans="1:25" x14ac:dyDescent="0.25">
      <c r="A12" s="20" t="s">
        <v>52</v>
      </c>
      <c r="B12" s="61">
        <v>2016</v>
      </c>
      <c r="C12" s="50">
        <v>2016</v>
      </c>
      <c r="D12" s="61">
        <v>2016</v>
      </c>
      <c r="E12" s="59">
        <v>2012</v>
      </c>
      <c r="F12" s="60">
        <v>2012</v>
      </c>
      <c r="G12" s="80">
        <v>2015</v>
      </c>
      <c r="H12" s="65">
        <v>2016</v>
      </c>
      <c r="I12" s="60">
        <v>2013</v>
      </c>
      <c r="J12" s="61">
        <v>2016</v>
      </c>
      <c r="K12" s="53">
        <v>2016</v>
      </c>
      <c r="L12" s="60" t="s">
        <v>152</v>
      </c>
      <c r="M12" s="59">
        <v>2013</v>
      </c>
      <c r="N12" s="71">
        <v>2013</v>
      </c>
      <c r="O12" s="50">
        <v>2014</v>
      </c>
      <c r="P12" s="59">
        <v>2014</v>
      </c>
      <c r="Q12" s="71">
        <v>2012</v>
      </c>
      <c r="R12" s="71">
        <v>2012</v>
      </c>
      <c r="S12" s="50">
        <v>2015</v>
      </c>
      <c r="T12" s="59">
        <v>2011</v>
      </c>
      <c r="U12" s="50">
        <v>2015</v>
      </c>
      <c r="V12" s="61">
        <v>2016</v>
      </c>
      <c r="W12" s="50">
        <v>2016</v>
      </c>
      <c r="Y12" s="3" t="s">
        <v>51</v>
      </c>
    </row>
    <row r="13" spans="1:25" x14ac:dyDescent="0.25">
      <c r="A13" s="20" t="s">
        <v>54</v>
      </c>
      <c r="B13" s="59"/>
      <c r="C13" s="60"/>
      <c r="D13" s="59"/>
      <c r="E13" s="59"/>
      <c r="F13" s="60"/>
      <c r="G13" s="59"/>
      <c r="H13" s="65"/>
      <c r="I13" s="60"/>
      <c r="J13" s="59"/>
      <c r="K13" s="71"/>
      <c r="L13" s="60"/>
      <c r="M13" s="59"/>
      <c r="N13" s="71"/>
      <c r="O13" s="60"/>
      <c r="P13" s="59"/>
      <c r="Q13" s="71"/>
      <c r="R13" s="71"/>
      <c r="S13" s="60"/>
      <c r="T13" s="59"/>
      <c r="U13" s="60"/>
      <c r="V13" s="59"/>
      <c r="W13" s="60"/>
      <c r="Y13" s="3" t="s">
        <v>55</v>
      </c>
    </row>
    <row r="14" spans="1:25" x14ac:dyDescent="0.25">
      <c r="A14" s="20" t="s">
        <v>56</v>
      </c>
      <c r="B14" s="59"/>
      <c r="C14" s="60"/>
      <c r="D14" s="84"/>
      <c r="E14" s="80"/>
      <c r="F14" s="75"/>
      <c r="G14" s="80"/>
      <c r="H14" s="71"/>
      <c r="I14" s="60"/>
      <c r="J14" s="59"/>
      <c r="K14" s="71"/>
      <c r="L14" s="60"/>
      <c r="M14" s="80"/>
      <c r="N14" s="71"/>
      <c r="O14" s="191"/>
      <c r="P14" s="84"/>
      <c r="Q14" s="131"/>
      <c r="R14" s="65"/>
      <c r="S14" s="60"/>
      <c r="T14" s="59"/>
      <c r="U14" s="60"/>
      <c r="V14" s="59"/>
      <c r="W14" s="60"/>
      <c r="Y14" s="3" t="s">
        <v>55</v>
      </c>
    </row>
    <row r="15" spans="1:25" x14ac:dyDescent="0.25">
      <c r="A15" s="20" t="s">
        <v>57</v>
      </c>
      <c r="B15" s="61" t="s">
        <v>153</v>
      </c>
      <c r="C15" s="74" t="s">
        <v>154</v>
      </c>
      <c r="D15" s="84"/>
      <c r="E15" s="59" t="s">
        <v>180</v>
      </c>
      <c r="F15" s="60" t="s">
        <v>181</v>
      </c>
      <c r="G15" s="61" t="s">
        <v>155</v>
      </c>
      <c r="H15" s="206" t="s">
        <v>156</v>
      </c>
      <c r="I15" s="50" t="s">
        <v>157</v>
      </c>
      <c r="J15" s="61" t="s">
        <v>182</v>
      </c>
      <c r="K15" s="53" t="s">
        <v>159</v>
      </c>
      <c r="L15" s="191" t="s">
        <v>183</v>
      </c>
      <c r="M15" s="59" t="s">
        <v>106</v>
      </c>
      <c r="N15" s="53" t="s">
        <v>107</v>
      </c>
      <c r="O15" s="50" t="s">
        <v>64</v>
      </c>
      <c r="P15" s="84"/>
      <c r="Q15" s="53" t="s">
        <v>107</v>
      </c>
      <c r="R15" s="71" t="s">
        <v>163</v>
      </c>
      <c r="S15" s="83"/>
      <c r="T15" s="80" t="s">
        <v>184</v>
      </c>
      <c r="U15" s="50" t="s">
        <v>185</v>
      </c>
      <c r="V15" s="61" t="s">
        <v>158</v>
      </c>
      <c r="W15" s="50" t="s">
        <v>156</v>
      </c>
      <c r="Y15" s="3" t="s">
        <v>67</v>
      </c>
    </row>
    <row r="16" spans="1:25" x14ac:dyDescent="0.25">
      <c r="A16" s="20" t="s">
        <v>69</v>
      </c>
      <c r="B16" s="59"/>
      <c r="C16" s="60"/>
      <c r="D16" s="84"/>
      <c r="E16" s="59"/>
      <c r="F16" s="60"/>
      <c r="G16" s="80"/>
      <c r="H16" s="71"/>
      <c r="I16" s="50"/>
      <c r="J16" s="59"/>
      <c r="K16" s="65"/>
      <c r="L16" s="60"/>
      <c r="M16" s="59"/>
      <c r="N16" s="71"/>
      <c r="O16" s="75"/>
      <c r="P16" s="84"/>
      <c r="Q16" s="71"/>
      <c r="R16" s="71"/>
      <c r="S16" s="50"/>
      <c r="T16" s="59"/>
      <c r="U16" s="60"/>
      <c r="V16" s="61">
        <v>2016</v>
      </c>
      <c r="W16" s="50">
        <v>2014</v>
      </c>
      <c r="Y16" s="3" t="s">
        <v>70</v>
      </c>
    </row>
    <row r="17" spans="1:25" x14ac:dyDescent="0.25">
      <c r="A17" s="20" t="s">
        <v>145</v>
      </c>
      <c r="B17" s="61"/>
      <c r="C17" s="50"/>
      <c r="D17" s="80"/>
      <c r="E17" s="59"/>
      <c r="F17" s="60"/>
      <c r="G17" s="61"/>
      <c r="H17" s="65"/>
      <c r="I17" s="50"/>
      <c r="J17" s="180"/>
      <c r="K17" s="127"/>
      <c r="L17" s="75"/>
      <c r="M17" s="61"/>
      <c r="N17" s="65"/>
      <c r="O17" s="50"/>
      <c r="P17" s="84"/>
      <c r="Q17" s="53"/>
      <c r="R17" s="53"/>
      <c r="S17" s="50"/>
      <c r="T17" s="61"/>
      <c r="U17" s="50"/>
      <c r="V17" s="180"/>
      <c r="W17" s="50"/>
      <c r="Y17" s="3" t="s">
        <v>42</v>
      </c>
    </row>
    <row r="18" spans="1:25" x14ac:dyDescent="0.25">
      <c r="A18" s="20" t="s">
        <v>71</v>
      </c>
      <c r="B18" s="61"/>
      <c r="C18" s="50"/>
      <c r="D18" s="61"/>
      <c r="E18" s="59"/>
      <c r="F18" s="60"/>
      <c r="G18" s="61"/>
      <c r="H18" s="53"/>
      <c r="I18" s="50"/>
      <c r="J18" s="61"/>
      <c r="K18" s="53"/>
      <c r="L18" s="50"/>
      <c r="M18" s="59"/>
      <c r="N18" s="53"/>
      <c r="O18" s="50"/>
      <c r="P18" s="84"/>
      <c r="Q18" s="53"/>
      <c r="R18" s="53"/>
      <c r="S18" s="75"/>
      <c r="T18" s="61"/>
      <c r="U18" s="50"/>
      <c r="V18" s="61"/>
      <c r="W18" s="50"/>
      <c r="Y18" s="3" t="s">
        <v>42</v>
      </c>
    </row>
    <row r="19" spans="1:25" x14ac:dyDescent="0.25">
      <c r="A19" s="20" t="s">
        <v>72</v>
      </c>
      <c r="B19" s="61"/>
      <c r="C19" s="50"/>
      <c r="D19" s="61"/>
      <c r="E19" s="59"/>
      <c r="F19" s="60"/>
      <c r="G19" s="61"/>
      <c r="H19" s="53"/>
      <c r="I19" s="50"/>
      <c r="J19" s="61"/>
      <c r="K19" s="53"/>
      <c r="L19" s="50"/>
      <c r="M19" s="59"/>
      <c r="N19" s="53"/>
      <c r="O19" s="50"/>
      <c r="P19" s="61"/>
      <c r="Q19" s="53"/>
      <c r="R19" s="53"/>
      <c r="S19" s="50"/>
      <c r="T19" s="61"/>
      <c r="U19" s="50"/>
      <c r="V19" s="80"/>
      <c r="W19" s="75"/>
      <c r="Y19" s="3" t="s">
        <v>42</v>
      </c>
    </row>
    <row r="20" spans="1:25" x14ac:dyDescent="0.25">
      <c r="A20" s="20" t="s">
        <v>73</v>
      </c>
      <c r="B20" s="61"/>
      <c r="C20" s="50"/>
      <c r="D20" s="61"/>
      <c r="E20" s="59"/>
      <c r="F20" s="60"/>
      <c r="G20" s="61"/>
      <c r="H20" s="65"/>
      <c r="I20" s="50"/>
      <c r="J20" s="61"/>
      <c r="K20" s="53"/>
      <c r="L20" s="50"/>
      <c r="M20" s="59"/>
      <c r="N20" s="53"/>
      <c r="O20" s="50"/>
      <c r="P20" s="61"/>
      <c r="Q20" s="53"/>
      <c r="R20" s="53"/>
      <c r="S20" s="50"/>
      <c r="T20" s="61"/>
      <c r="U20" s="50"/>
      <c r="V20" s="61"/>
      <c r="W20" s="50"/>
      <c r="Y20" s="3" t="s">
        <v>42</v>
      </c>
    </row>
    <row r="21" spans="1:25" x14ac:dyDescent="0.25">
      <c r="A21" s="20" t="s">
        <v>74</v>
      </c>
      <c r="B21" s="61"/>
      <c r="C21" s="50"/>
      <c r="D21" s="61"/>
      <c r="E21" s="59"/>
      <c r="F21" s="60"/>
      <c r="G21" s="61"/>
      <c r="H21" s="53"/>
      <c r="I21" s="50"/>
      <c r="J21" s="61"/>
      <c r="K21" s="53"/>
      <c r="L21" s="50"/>
      <c r="M21" s="61"/>
      <c r="N21" s="53"/>
      <c r="O21" s="50"/>
      <c r="P21" s="61"/>
      <c r="Q21" s="53"/>
      <c r="R21" s="53"/>
      <c r="S21" s="50"/>
      <c r="T21" s="61"/>
      <c r="U21" s="50"/>
      <c r="V21" s="61"/>
      <c r="W21" s="50"/>
      <c r="Y21" s="3" t="s">
        <v>42</v>
      </c>
    </row>
    <row r="22" spans="1:25" x14ac:dyDescent="0.25">
      <c r="A22" s="20" t="s">
        <v>75</v>
      </c>
      <c r="B22" s="61">
        <v>2016</v>
      </c>
      <c r="C22" s="50">
        <v>2016</v>
      </c>
      <c r="D22" s="61">
        <v>2016</v>
      </c>
      <c r="E22" s="59">
        <v>2012</v>
      </c>
      <c r="F22" s="60">
        <v>2012</v>
      </c>
      <c r="G22" s="61">
        <v>2016</v>
      </c>
      <c r="H22" s="71">
        <v>2012</v>
      </c>
      <c r="I22" s="50">
        <v>2013</v>
      </c>
      <c r="J22" s="59" t="s">
        <v>165</v>
      </c>
      <c r="K22" s="53">
        <v>2016</v>
      </c>
      <c r="L22" s="50">
        <v>2015</v>
      </c>
      <c r="M22" s="59" t="s">
        <v>178</v>
      </c>
      <c r="N22" s="53">
        <v>2015</v>
      </c>
      <c r="O22" s="50">
        <v>2014</v>
      </c>
      <c r="P22" s="59">
        <v>2011</v>
      </c>
      <c r="Q22" s="53">
        <v>2015</v>
      </c>
      <c r="R22" s="53">
        <v>2014</v>
      </c>
      <c r="S22" s="50">
        <v>2015</v>
      </c>
      <c r="T22" s="59">
        <v>2011</v>
      </c>
      <c r="U22" s="50">
        <v>2015</v>
      </c>
      <c r="V22" s="61">
        <v>2016</v>
      </c>
      <c r="W22" s="50">
        <v>2016</v>
      </c>
      <c r="Y22" s="3" t="s">
        <v>76</v>
      </c>
    </row>
    <row r="23" spans="1:25" x14ac:dyDescent="0.25">
      <c r="A23" s="20" t="s">
        <v>78</v>
      </c>
      <c r="B23" s="61"/>
      <c r="C23" s="50"/>
      <c r="D23" s="61"/>
      <c r="E23" s="59"/>
      <c r="F23" s="60"/>
      <c r="G23" s="61"/>
      <c r="H23" s="53"/>
      <c r="I23" s="50"/>
      <c r="J23" s="61"/>
      <c r="K23" s="53"/>
      <c r="L23" s="50"/>
      <c r="M23" s="61"/>
      <c r="N23" s="53"/>
      <c r="O23" s="50"/>
      <c r="P23" s="61"/>
      <c r="Q23" s="53"/>
      <c r="R23" s="53"/>
      <c r="S23" s="50"/>
      <c r="T23" s="61"/>
      <c r="U23" s="50"/>
      <c r="V23" s="61"/>
      <c r="W23" s="50"/>
      <c r="Y23" s="3" t="s">
        <v>42</v>
      </c>
    </row>
    <row r="24" spans="1:25" x14ac:dyDescent="0.25">
      <c r="A24" s="20" t="s">
        <v>146</v>
      </c>
      <c r="B24" s="84"/>
      <c r="C24" s="83"/>
      <c r="D24" s="84"/>
      <c r="E24" s="84"/>
      <c r="F24" s="83"/>
      <c r="G24" s="84"/>
      <c r="H24" s="82"/>
      <c r="I24" s="83"/>
      <c r="J24" s="84"/>
      <c r="K24" s="82"/>
      <c r="L24" s="83"/>
      <c r="M24" s="84"/>
      <c r="N24" s="82" t="s">
        <v>90</v>
      </c>
      <c r="O24" s="83" t="s">
        <v>90</v>
      </c>
      <c r="P24" s="84"/>
      <c r="Q24" s="82"/>
      <c r="R24" s="82"/>
      <c r="S24" s="83"/>
      <c r="T24" s="84"/>
      <c r="U24" s="83"/>
      <c r="V24" s="84"/>
      <c r="W24" s="83"/>
    </row>
    <row r="25" spans="1:25" x14ac:dyDescent="0.25">
      <c r="A25" s="20" t="s">
        <v>79</v>
      </c>
      <c r="B25" s="84"/>
      <c r="C25" s="83"/>
      <c r="D25" s="84"/>
      <c r="E25" s="84"/>
      <c r="F25" s="83"/>
      <c r="G25" s="84"/>
      <c r="H25" s="82"/>
      <c r="I25" s="83"/>
      <c r="J25" s="84"/>
      <c r="K25" s="82"/>
      <c r="L25" s="83"/>
      <c r="M25" s="84" t="s">
        <v>88</v>
      </c>
      <c r="N25" s="82" t="s">
        <v>88</v>
      </c>
      <c r="O25" s="83"/>
      <c r="P25" s="84"/>
      <c r="Q25" s="82" t="s">
        <v>88</v>
      </c>
      <c r="R25" s="82" t="s">
        <v>88</v>
      </c>
      <c r="S25" s="83"/>
      <c r="T25" s="84"/>
      <c r="U25" s="83"/>
      <c r="V25" s="84"/>
      <c r="W25" s="83"/>
    </row>
    <row r="26" spans="1:25" x14ac:dyDescent="0.25">
      <c r="A26" s="20" t="s">
        <v>80</v>
      </c>
      <c r="B26" s="84"/>
      <c r="C26" s="83"/>
      <c r="D26" s="84"/>
      <c r="E26" s="84"/>
      <c r="F26" s="83"/>
      <c r="G26" s="84"/>
      <c r="H26" s="82"/>
      <c r="I26" s="83"/>
      <c r="J26" s="84"/>
      <c r="K26" s="82" t="s">
        <v>88</v>
      </c>
      <c r="L26" s="83"/>
      <c r="M26" s="84" t="s">
        <v>90</v>
      </c>
      <c r="N26" s="82" t="s">
        <v>90</v>
      </c>
      <c r="O26" s="83" t="s">
        <v>90</v>
      </c>
      <c r="P26" s="84"/>
      <c r="Q26" s="82"/>
      <c r="R26" s="82"/>
      <c r="S26" s="83"/>
      <c r="T26" s="84"/>
      <c r="U26" s="83"/>
      <c r="V26" s="84"/>
      <c r="W26" s="83"/>
      <c r="Y26" s="3" t="s">
        <v>42</v>
      </c>
    </row>
    <row r="27" spans="1:25" x14ac:dyDescent="0.25">
      <c r="A27" s="20" t="s">
        <v>167</v>
      </c>
      <c r="B27" s="84">
        <v>14</v>
      </c>
      <c r="C27" s="83">
        <v>14</v>
      </c>
      <c r="D27" s="84">
        <v>0</v>
      </c>
      <c r="E27" s="84">
        <v>14</v>
      </c>
      <c r="F27" s="83">
        <v>14</v>
      </c>
      <c r="G27" s="84">
        <v>14</v>
      </c>
      <c r="H27" s="82">
        <v>14</v>
      </c>
      <c r="I27" s="83">
        <v>14</v>
      </c>
      <c r="J27" s="84">
        <v>14</v>
      </c>
      <c r="K27" s="82">
        <v>14</v>
      </c>
      <c r="L27" s="83">
        <v>14</v>
      </c>
      <c r="M27" s="84">
        <v>14</v>
      </c>
      <c r="N27" s="82">
        <v>14</v>
      </c>
      <c r="O27" s="83">
        <v>14</v>
      </c>
      <c r="P27" s="84">
        <v>0</v>
      </c>
      <c r="Q27" s="82">
        <v>14</v>
      </c>
      <c r="R27" s="82">
        <v>14</v>
      </c>
      <c r="S27" s="83">
        <v>0</v>
      </c>
      <c r="T27" s="84">
        <v>14</v>
      </c>
      <c r="U27" s="83">
        <v>14</v>
      </c>
      <c r="V27" s="84">
        <v>0</v>
      </c>
      <c r="W27" s="83">
        <v>0</v>
      </c>
    </row>
    <row r="28" spans="1:25" x14ac:dyDescent="0.25">
      <c r="A28" s="20" t="s">
        <v>83</v>
      </c>
      <c r="B28" s="84">
        <v>8</v>
      </c>
      <c r="C28" s="83">
        <v>5</v>
      </c>
      <c r="D28" s="84">
        <v>0</v>
      </c>
      <c r="E28" s="84">
        <v>11</v>
      </c>
      <c r="F28" s="83">
        <v>11</v>
      </c>
      <c r="G28" s="93">
        <v>8</v>
      </c>
      <c r="H28" s="82">
        <v>8</v>
      </c>
      <c r="I28" s="83">
        <v>5</v>
      </c>
      <c r="J28" s="84">
        <v>11</v>
      </c>
      <c r="K28" s="82">
        <v>8</v>
      </c>
      <c r="L28" s="83">
        <v>5</v>
      </c>
      <c r="M28" s="84">
        <v>8</v>
      </c>
      <c r="N28" s="82">
        <v>5</v>
      </c>
      <c r="O28" s="83">
        <v>8</v>
      </c>
      <c r="P28" s="84">
        <v>0</v>
      </c>
      <c r="Q28" s="82">
        <v>11</v>
      </c>
      <c r="R28" s="82">
        <v>5</v>
      </c>
      <c r="S28" s="83">
        <v>0</v>
      </c>
      <c r="T28" s="84">
        <v>8</v>
      </c>
      <c r="U28" s="83">
        <v>5</v>
      </c>
      <c r="V28" s="84">
        <v>5</v>
      </c>
      <c r="W28" s="83">
        <v>5</v>
      </c>
    </row>
    <row r="29" spans="1:25" x14ac:dyDescent="0.25">
      <c r="A29" s="20" t="s">
        <v>84</v>
      </c>
      <c r="B29" s="314">
        <v>0</v>
      </c>
      <c r="C29" s="314"/>
      <c r="D29" s="2">
        <v>0</v>
      </c>
      <c r="E29" s="314">
        <v>0</v>
      </c>
      <c r="F29" s="314"/>
      <c r="G29" s="314" t="s">
        <v>37</v>
      </c>
      <c r="H29" s="314"/>
      <c r="I29" s="314"/>
      <c r="J29" s="314"/>
      <c r="K29" s="314"/>
      <c r="L29" s="314"/>
      <c r="M29" s="314">
        <v>20</v>
      </c>
      <c r="N29" s="314"/>
      <c r="O29" s="314"/>
      <c r="P29" s="314">
        <v>7</v>
      </c>
      <c r="Q29" s="314"/>
      <c r="R29" s="314"/>
      <c r="S29" s="314"/>
      <c r="T29" s="314"/>
      <c r="U29" s="314"/>
      <c r="V29" s="314"/>
      <c r="W29" s="314"/>
    </row>
    <row r="30" spans="1:25" x14ac:dyDescent="0.25">
      <c r="A30" s="20" t="s">
        <v>85</v>
      </c>
      <c r="B30" s="314">
        <f>B27+C27-B28-C28-B29</f>
        <v>15</v>
      </c>
      <c r="C30" s="314"/>
      <c r="D30" s="2">
        <f>D27-D28-D29</f>
        <v>0</v>
      </c>
      <c r="E30" s="314">
        <f>E27+F27-E28-F28-E29</f>
        <v>6</v>
      </c>
      <c r="F30" s="314"/>
      <c r="G30" s="314" t="e">
        <f>G27+H27+I27-G28-H28-I28-G29</f>
        <v>#VALUE!</v>
      </c>
      <c r="H30" s="314"/>
      <c r="I30" s="314"/>
      <c r="J30" s="314">
        <f>J27+K27+L27-J28-K28-L28-J29</f>
        <v>18</v>
      </c>
      <c r="K30" s="314"/>
      <c r="L30" s="314"/>
      <c r="M30" s="314">
        <f>M27+N27+O27-M28-N28-O28-M29</f>
        <v>1</v>
      </c>
      <c r="N30" s="314"/>
      <c r="O30" s="314"/>
      <c r="P30" s="314">
        <f>P27+Q27+R27+S27-P28-Q28-R28-S28-P29</f>
        <v>5</v>
      </c>
      <c r="Q30" s="314"/>
      <c r="R30" s="314"/>
      <c r="S30" s="314"/>
      <c r="T30" s="314">
        <f>T27+U27-T28-U28-T29</f>
        <v>15</v>
      </c>
      <c r="U30" s="314"/>
      <c r="V30" s="314">
        <f>V27+W27-V28-W28-V29</f>
        <v>-10</v>
      </c>
      <c r="W30" s="314"/>
    </row>
    <row r="31" spans="1:25" x14ac:dyDescent="0.25">
      <c r="A31" s="20" t="s">
        <v>86</v>
      </c>
      <c r="B31" s="314"/>
      <c r="C31" s="314"/>
      <c r="D31" s="2"/>
      <c r="E31" s="314"/>
      <c r="F31" s="314"/>
      <c r="G31" s="314"/>
      <c r="H31" s="314"/>
      <c r="I31" s="314"/>
      <c r="J31" s="314"/>
      <c r="K31" s="314"/>
      <c r="L31" s="314"/>
      <c r="M31" s="314" t="s">
        <v>88</v>
      </c>
      <c r="N31" s="314"/>
      <c r="O31" s="314"/>
      <c r="P31" s="314"/>
      <c r="Q31" s="314"/>
      <c r="R31" s="314"/>
      <c r="S31" s="314"/>
      <c r="T31" s="314"/>
      <c r="U31" s="314"/>
      <c r="V31" s="314"/>
      <c r="W31" s="314"/>
    </row>
    <row r="32" spans="1:25" x14ac:dyDescent="0.25">
      <c r="A32" s="20" t="s">
        <v>130</v>
      </c>
      <c r="B32" s="314" t="s">
        <v>114</v>
      </c>
      <c r="C32" s="314"/>
      <c r="D32" s="2" t="s">
        <v>114</v>
      </c>
      <c r="E32" s="314" t="s">
        <v>114</v>
      </c>
      <c r="F32" s="314"/>
      <c r="G32" s="314"/>
      <c r="H32" s="314"/>
      <c r="I32" s="314"/>
      <c r="J32" s="314"/>
      <c r="K32" s="314"/>
      <c r="L32" s="314"/>
      <c r="M32" s="314" t="s">
        <v>147</v>
      </c>
      <c r="N32" s="314"/>
      <c r="O32" s="314"/>
      <c r="P32" s="316"/>
      <c r="Q32" s="316"/>
      <c r="R32" s="316"/>
      <c r="S32" s="316"/>
      <c r="T32" s="314"/>
      <c r="U32" s="314"/>
      <c r="V32" s="314" t="s">
        <v>114</v>
      </c>
      <c r="W32" s="314"/>
    </row>
    <row r="33" spans="1:23" s="118" customFormat="1" ht="102" x14ac:dyDescent="0.25">
      <c r="A33" s="194"/>
      <c r="B33" s="195"/>
      <c r="C33" s="196"/>
      <c r="D33" s="195"/>
      <c r="E33" s="195" t="s">
        <v>186</v>
      </c>
      <c r="F33" s="196" t="s">
        <v>186</v>
      </c>
      <c r="G33" s="195"/>
      <c r="H33" s="197"/>
      <c r="I33" s="196"/>
      <c r="J33" s="195"/>
      <c r="K33" s="197" t="s">
        <v>187</v>
      </c>
      <c r="L33" s="196"/>
      <c r="M33" s="195"/>
      <c r="N33" s="197"/>
      <c r="O33" s="196"/>
      <c r="P33" s="195"/>
      <c r="Q33" s="197"/>
      <c r="R33" s="197"/>
      <c r="S33" s="196"/>
      <c r="T33" s="195"/>
      <c r="U33" s="196"/>
      <c r="V33" s="197"/>
      <c r="W33" s="197"/>
    </row>
    <row r="34" spans="1:23" s="64" customFormat="1" x14ac:dyDescent="0.25">
      <c r="A34" s="62" t="s">
        <v>91</v>
      </c>
      <c r="B34" s="52"/>
      <c r="C34" s="119"/>
      <c r="D34" s="52"/>
      <c r="E34" s="52"/>
      <c r="F34" s="119"/>
      <c r="G34" s="52"/>
      <c r="I34" s="119"/>
      <c r="J34" s="52"/>
      <c r="L34" s="119"/>
      <c r="M34" s="52"/>
      <c r="O34" s="119"/>
      <c r="P34" s="52"/>
      <c r="S34" s="119"/>
      <c r="T34" s="52"/>
      <c r="U34" s="119"/>
      <c r="V34" s="52"/>
      <c r="W34" s="119"/>
    </row>
    <row r="35" spans="1:23" s="121" customFormat="1" x14ac:dyDescent="0.25">
      <c r="A35" s="86" t="s">
        <v>93</v>
      </c>
      <c r="B35" s="90"/>
      <c r="C35" s="120"/>
      <c r="D35" s="90"/>
      <c r="E35" s="90"/>
      <c r="F35" s="120"/>
      <c r="G35" s="90"/>
      <c r="I35" s="120"/>
      <c r="J35" s="90"/>
      <c r="L35" s="120"/>
      <c r="M35" s="90"/>
      <c r="O35" s="120"/>
      <c r="P35" s="90"/>
      <c r="S35" s="120"/>
      <c r="T35" s="90"/>
      <c r="U35" s="120"/>
      <c r="V35" s="90"/>
      <c r="W35" s="120"/>
    </row>
    <row r="36" spans="1:23" s="122" customFormat="1" x14ac:dyDescent="0.25">
      <c r="A36" s="81" t="s">
        <v>94</v>
      </c>
      <c r="B36" s="78"/>
      <c r="C36" s="175"/>
      <c r="D36" s="78"/>
      <c r="E36" s="78"/>
      <c r="F36" s="175"/>
      <c r="G36" s="78"/>
      <c r="I36" s="175"/>
      <c r="J36" s="78"/>
      <c r="L36" s="175"/>
      <c r="M36" s="78"/>
      <c r="O36" s="175"/>
      <c r="P36" s="78"/>
      <c r="S36" s="175"/>
      <c r="T36" s="78"/>
      <c r="U36" s="175"/>
      <c r="V36" s="78"/>
      <c r="W36" s="175"/>
    </row>
    <row r="37" spans="1:23" s="58" customFormat="1" x14ac:dyDescent="0.25">
      <c r="A37" s="70" t="s">
        <v>95</v>
      </c>
      <c r="B37" s="57"/>
      <c r="C37" s="123"/>
      <c r="D37" s="57"/>
      <c r="E37" s="57"/>
      <c r="F37" s="123"/>
      <c r="G37" s="57"/>
      <c r="I37" s="123"/>
      <c r="J37" s="57"/>
      <c r="L37" s="123"/>
      <c r="M37" s="57"/>
      <c r="O37" s="123"/>
      <c r="P37" s="57"/>
      <c r="S37" s="123"/>
      <c r="T37" s="57"/>
      <c r="U37" s="123"/>
      <c r="V37" s="57"/>
      <c r="W37" s="123"/>
    </row>
    <row r="38" spans="1:23" s="126" customFormat="1" x14ac:dyDescent="0.25">
      <c r="A38" s="124" t="s">
        <v>96</v>
      </c>
      <c r="B38" s="125"/>
      <c r="C38" s="176"/>
      <c r="D38" s="125"/>
      <c r="E38" s="125"/>
      <c r="F38" s="176"/>
      <c r="G38" s="125"/>
      <c r="I38" s="176"/>
      <c r="J38" s="125"/>
      <c r="L38" s="176"/>
      <c r="M38" s="125"/>
      <c r="O38" s="176"/>
      <c r="P38" s="125"/>
      <c r="S38" s="176"/>
      <c r="T38" s="125"/>
      <c r="U38" s="176"/>
      <c r="V38" s="125"/>
      <c r="W38" s="176"/>
    </row>
    <row r="39" spans="1:23" s="132" customFormat="1" x14ac:dyDescent="0.25">
      <c r="A39" s="128" t="s">
        <v>97</v>
      </c>
      <c r="B39" s="178"/>
      <c r="C39" s="179"/>
      <c r="D39" s="178"/>
      <c r="E39" s="178"/>
      <c r="F39" s="179"/>
      <c r="G39" s="178"/>
      <c r="I39" s="179"/>
      <c r="J39" s="178"/>
      <c r="L39" s="179"/>
      <c r="M39" s="178"/>
      <c r="O39" s="179"/>
      <c r="P39" s="178"/>
      <c r="S39" s="179"/>
      <c r="T39" s="178"/>
      <c r="U39" s="179"/>
      <c r="V39" s="178"/>
      <c r="W39" s="179"/>
    </row>
  </sheetData>
  <mergeCells count="32">
    <mergeCell ref="P29:S29"/>
    <mergeCell ref="T29:U29"/>
    <mergeCell ref="V29:W29"/>
    <mergeCell ref="B30:C30"/>
    <mergeCell ref="E30:F30"/>
    <mergeCell ref="G30:I30"/>
    <mergeCell ref="J30:L30"/>
    <mergeCell ref="M30:O30"/>
    <mergeCell ref="P30:S30"/>
    <mergeCell ref="T30:U30"/>
    <mergeCell ref="V30:W30"/>
    <mergeCell ref="B29:C29"/>
    <mergeCell ref="E29:F29"/>
    <mergeCell ref="G29:I29"/>
    <mergeCell ref="J29:L29"/>
    <mergeCell ref="M29:O29"/>
    <mergeCell ref="P31:S31"/>
    <mergeCell ref="T31:U31"/>
    <mergeCell ref="V31:W31"/>
    <mergeCell ref="B32:C32"/>
    <mergeCell ref="E32:F32"/>
    <mergeCell ref="G32:I32"/>
    <mergeCell ref="J32:L32"/>
    <mergeCell ref="M32:O32"/>
    <mergeCell ref="P32:S32"/>
    <mergeCell ref="T32:U32"/>
    <mergeCell ref="V32:W32"/>
    <mergeCell ref="B31:C31"/>
    <mergeCell ref="E31:F31"/>
    <mergeCell ref="G31:I31"/>
    <mergeCell ref="J31:L31"/>
    <mergeCell ref="M31:O31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J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defaultColWidth="8.85546875" defaultRowHeight="15" x14ac:dyDescent="0.25"/>
  <cols>
    <col min="1" max="1" width="26.42578125" style="3" customWidth="1"/>
    <col min="2" max="2" width="7.28515625" style="4" customWidth="1"/>
    <col min="3" max="3" width="7.28515625" style="5" customWidth="1"/>
    <col min="4" max="4" width="7.28515625" style="4" customWidth="1"/>
    <col min="5" max="5" width="7.28515625" style="5" customWidth="1"/>
    <col min="6" max="6" width="7.28515625" style="4" customWidth="1"/>
    <col min="7" max="7" width="7.28515625" style="3" customWidth="1"/>
    <col min="8" max="8" width="10.140625" style="5" customWidth="1"/>
    <col min="9" max="9" width="7.28515625" style="4" customWidth="1"/>
    <col min="10" max="10" width="7.28515625" style="3" customWidth="1"/>
    <col min="11" max="11" width="7.28515625" style="5" customWidth="1"/>
    <col min="12" max="12" width="7.28515625" style="4" customWidth="1"/>
    <col min="13" max="13" width="7.28515625" style="3" customWidth="1"/>
    <col min="14" max="14" width="7.28515625" style="5" customWidth="1"/>
    <col min="15" max="15" width="7.28515625" style="4" customWidth="1"/>
    <col min="16" max="17" width="7.28515625" style="3" customWidth="1"/>
    <col min="18" max="18" width="7.28515625" style="5" customWidth="1"/>
    <col min="19" max="19" width="7.28515625" style="4" customWidth="1"/>
    <col min="20" max="20" width="7.28515625" style="5" customWidth="1"/>
    <col min="21" max="21" width="7.28515625" style="4" customWidth="1"/>
    <col min="22" max="22" width="7.28515625" style="5" customWidth="1"/>
    <col min="23" max="1024" width="8.85546875" style="3"/>
  </cols>
  <sheetData>
    <row r="1" spans="1:24" s="19" customFormat="1" x14ac:dyDescent="0.25">
      <c r="A1" s="7"/>
      <c r="B1" s="181" t="s">
        <v>0</v>
      </c>
      <c r="C1" s="182" t="s">
        <v>1</v>
      </c>
      <c r="D1" s="181" t="s">
        <v>2</v>
      </c>
      <c r="E1" s="182" t="s">
        <v>3</v>
      </c>
      <c r="F1" s="181" t="s">
        <v>4</v>
      </c>
      <c r="G1" s="183" t="s">
        <v>5</v>
      </c>
      <c r="H1" s="182" t="s">
        <v>6</v>
      </c>
      <c r="I1" s="181" t="s">
        <v>7</v>
      </c>
      <c r="J1" s="183" t="s">
        <v>8</v>
      </c>
      <c r="K1" s="182" t="s">
        <v>9</v>
      </c>
      <c r="L1" s="181" t="s">
        <v>10</v>
      </c>
      <c r="M1" s="183" t="s">
        <v>11</v>
      </c>
      <c r="N1" s="182" t="s">
        <v>13</v>
      </c>
      <c r="O1" s="181" t="s">
        <v>14</v>
      </c>
      <c r="P1" s="183" t="s">
        <v>15</v>
      </c>
      <c r="Q1" s="183" t="s">
        <v>16</v>
      </c>
      <c r="R1" s="182" t="s">
        <v>101</v>
      </c>
      <c r="S1" s="181" t="s">
        <v>19</v>
      </c>
      <c r="T1" s="182" t="s">
        <v>20</v>
      </c>
      <c r="U1" s="181" t="s">
        <v>21</v>
      </c>
      <c r="V1" s="182" t="s">
        <v>102</v>
      </c>
    </row>
    <row r="2" spans="1:24" x14ac:dyDescent="0.25">
      <c r="A2" s="20" t="s">
        <v>24</v>
      </c>
      <c r="B2" s="186" t="s">
        <v>188</v>
      </c>
      <c r="C2" s="168" t="s">
        <v>188</v>
      </c>
      <c r="D2" s="186" t="s">
        <v>189</v>
      </c>
      <c r="E2" s="168" t="s">
        <v>189</v>
      </c>
      <c r="F2" s="186" t="s">
        <v>190</v>
      </c>
      <c r="G2" s="187" t="s">
        <v>190</v>
      </c>
      <c r="H2" s="168" t="s">
        <v>190</v>
      </c>
      <c r="I2" s="186" t="s">
        <v>191</v>
      </c>
      <c r="J2" s="187" t="s">
        <v>191</v>
      </c>
      <c r="K2" s="168" t="s">
        <v>191</v>
      </c>
      <c r="L2" s="186" t="s">
        <v>189</v>
      </c>
      <c r="M2" s="187" t="s">
        <v>189</v>
      </c>
      <c r="N2" s="168" t="s">
        <v>192</v>
      </c>
      <c r="O2" s="186" t="s">
        <v>193</v>
      </c>
      <c r="P2" s="187" t="s">
        <v>193</v>
      </c>
      <c r="Q2" s="187" t="s">
        <v>189</v>
      </c>
      <c r="R2" s="168" t="s">
        <v>193</v>
      </c>
      <c r="S2" s="186" t="s">
        <v>189</v>
      </c>
      <c r="T2" s="168" t="s">
        <v>189</v>
      </c>
      <c r="U2" s="186" t="s">
        <v>193</v>
      </c>
      <c r="V2" s="168" t="s">
        <v>193</v>
      </c>
    </row>
    <row r="3" spans="1:24" s="38" customFormat="1" x14ac:dyDescent="0.25">
      <c r="A3" s="29" t="s">
        <v>25</v>
      </c>
      <c r="B3" s="158" t="s">
        <v>194</v>
      </c>
      <c r="C3" s="37" t="s">
        <v>194</v>
      </c>
      <c r="D3" s="158" t="s">
        <v>195</v>
      </c>
      <c r="E3" s="37" t="s">
        <v>195</v>
      </c>
      <c r="F3" s="158" t="s">
        <v>195</v>
      </c>
      <c r="G3" s="32" t="s">
        <v>195</v>
      </c>
      <c r="H3" s="37" t="s">
        <v>195</v>
      </c>
      <c r="I3" s="158" t="s">
        <v>196</v>
      </c>
      <c r="J3" s="32" t="s">
        <v>114</v>
      </c>
      <c r="K3" s="37" t="s">
        <v>196</v>
      </c>
      <c r="L3" s="158" t="s">
        <v>195</v>
      </c>
      <c r="M3" s="32" t="s">
        <v>195</v>
      </c>
      <c r="N3" s="37" t="s">
        <v>195</v>
      </c>
      <c r="O3" s="158" t="s">
        <v>196</v>
      </c>
      <c r="P3" s="32" t="s">
        <v>197</v>
      </c>
      <c r="Q3" s="32" t="s">
        <v>197</v>
      </c>
      <c r="R3" s="37" t="s">
        <v>198</v>
      </c>
      <c r="S3" s="158" t="s">
        <v>196</v>
      </c>
      <c r="T3" s="37" t="s">
        <v>196</v>
      </c>
      <c r="U3" s="158" t="s">
        <v>196</v>
      </c>
      <c r="V3" s="37" t="s">
        <v>196</v>
      </c>
    </row>
    <row r="4" spans="1:24" s="38" customFormat="1" x14ac:dyDescent="0.25">
      <c r="A4" s="29" t="s">
        <v>31</v>
      </c>
      <c r="B4" s="158"/>
      <c r="C4" s="37"/>
      <c r="D4" s="158" t="s">
        <v>133</v>
      </c>
      <c r="E4" s="37" t="s">
        <v>133</v>
      </c>
      <c r="F4" s="158" t="s">
        <v>133</v>
      </c>
      <c r="G4" s="32" t="s">
        <v>133</v>
      </c>
      <c r="H4" s="37" t="s">
        <v>133</v>
      </c>
      <c r="I4" s="158" t="s">
        <v>133</v>
      </c>
      <c r="J4" s="32" t="s">
        <v>114</v>
      </c>
      <c r="K4" s="37" t="s">
        <v>133</v>
      </c>
      <c r="L4" s="158" t="s">
        <v>133</v>
      </c>
      <c r="M4" s="32" t="s">
        <v>133</v>
      </c>
      <c r="N4" s="37" t="s">
        <v>133</v>
      </c>
      <c r="O4" s="158" t="s">
        <v>133</v>
      </c>
      <c r="P4" s="32" t="s">
        <v>133</v>
      </c>
      <c r="Q4" s="32" t="s">
        <v>133</v>
      </c>
      <c r="R4" s="37" t="s">
        <v>133</v>
      </c>
      <c r="S4" s="158" t="s">
        <v>133</v>
      </c>
      <c r="T4" s="37" t="s">
        <v>133</v>
      </c>
      <c r="U4" s="207" t="s">
        <v>199</v>
      </c>
      <c r="V4" s="37" t="s">
        <v>200</v>
      </c>
    </row>
    <row r="5" spans="1:24" x14ac:dyDescent="0.25">
      <c r="A5" s="20" t="s">
        <v>38</v>
      </c>
      <c r="B5" s="59">
        <v>2012</v>
      </c>
      <c r="C5" s="60">
        <v>2012</v>
      </c>
      <c r="D5" s="61">
        <v>2008</v>
      </c>
      <c r="E5" s="50">
        <v>2008</v>
      </c>
      <c r="F5" s="61">
        <v>2009</v>
      </c>
      <c r="G5" s="131"/>
      <c r="H5" s="50"/>
      <c r="I5" s="61"/>
      <c r="J5" s="71"/>
      <c r="K5" s="50">
        <v>2015</v>
      </c>
      <c r="L5" s="61">
        <v>2009</v>
      </c>
      <c r="M5" s="53"/>
      <c r="N5" s="50"/>
      <c r="O5" s="61">
        <v>2011</v>
      </c>
      <c r="P5" s="53">
        <v>2008</v>
      </c>
      <c r="Q5" s="53">
        <v>2014</v>
      </c>
      <c r="R5" s="50">
        <v>2015</v>
      </c>
      <c r="S5" s="61"/>
      <c r="T5" s="50"/>
      <c r="U5" s="61"/>
      <c r="V5" s="191"/>
    </row>
    <row r="6" spans="1:24" x14ac:dyDescent="0.25">
      <c r="A6" s="20" t="s">
        <v>39</v>
      </c>
      <c r="B6" s="59" t="s">
        <v>150</v>
      </c>
      <c r="C6" s="60" t="s">
        <v>150</v>
      </c>
      <c r="D6" s="61" t="s">
        <v>150</v>
      </c>
      <c r="E6" s="50" t="s">
        <v>150</v>
      </c>
      <c r="F6" s="61" t="s">
        <v>201</v>
      </c>
      <c r="G6" s="131" t="s">
        <v>37</v>
      </c>
      <c r="H6" s="50" t="s">
        <v>150</v>
      </c>
      <c r="I6" s="61" t="s">
        <v>150</v>
      </c>
      <c r="J6" s="71"/>
      <c r="K6" s="50" t="s">
        <v>150</v>
      </c>
      <c r="L6" s="61" t="s">
        <v>150</v>
      </c>
      <c r="M6" s="53" t="s">
        <v>150</v>
      </c>
      <c r="N6" s="50" t="s">
        <v>150</v>
      </c>
      <c r="O6" s="61" t="s">
        <v>150</v>
      </c>
      <c r="P6" s="53" t="s">
        <v>150</v>
      </c>
      <c r="Q6" s="53" t="s">
        <v>150</v>
      </c>
      <c r="R6" s="50" t="s">
        <v>150</v>
      </c>
      <c r="S6" s="61" t="s">
        <v>150</v>
      </c>
      <c r="T6" s="50" t="s">
        <v>150</v>
      </c>
      <c r="U6" s="61" t="s">
        <v>201</v>
      </c>
      <c r="V6" s="191" t="s">
        <v>150</v>
      </c>
      <c r="X6" s="3" t="s">
        <v>40</v>
      </c>
    </row>
    <row r="7" spans="1:24" x14ac:dyDescent="0.25">
      <c r="A7" s="20" t="s">
        <v>41</v>
      </c>
      <c r="B7" s="59">
        <v>2012</v>
      </c>
      <c r="C7" s="60">
        <v>2012</v>
      </c>
      <c r="D7" s="61">
        <v>2008</v>
      </c>
      <c r="E7" s="50">
        <v>2008</v>
      </c>
      <c r="F7" s="61">
        <v>2015</v>
      </c>
      <c r="G7" s="53">
        <v>2015</v>
      </c>
      <c r="H7" s="50">
        <v>2013</v>
      </c>
      <c r="I7" s="61">
        <v>2009</v>
      </c>
      <c r="J7" s="71"/>
      <c r="K7" s="50">
        <v>2015</v>
      </c>
      <c r="L7" s="61"/>
      <c r="M7" s="53"/>
      <c r="N7" s="50"/>
      <c r="O7" s="61">
        <v>2011</v>
      </c>
      <c r="P7" s="53">
        <v>2008</v>
      </c>
      <c r="Q7" s="53">
        <v>2014</v>
      </c>
      <c r="R7" s="50">
        <v>2015</v>
      </c>
      <c r="S7" s="61"/>
      <c r="T7" s="50"/>
      <c r="U7" s="61"/>
      <c r="V7" s="191"/>
      <c r="X7" s="3" t="s">
        <v>42</v>
      </c>
    </row>
    <row r="8" spans="1:24" x14ac:dyDescent="0.25">
      <c r="A8" s="20" t="s">
        <v>43</v>
      </c>
      <c r="B8" s="59">
        <v>2012</v>
      </c>
      <c r="C8" s="60">
        <v>2012</v>
      </c>
      <c r="D8" s="61">
        <v>2012</v>
      </c>
      <c r="E8" s="50">
        <v>2012</v>
      </c>
      <c r="F8" s="61">
        <v>2015</v>
      </c>
      <c r="G8" s="53">
        <v>2013</v>
      </c>
      <c r="H8" s="50">
        <v>2013</v>
      </c>
      <c r="I8" s="61">
        <v>2010</v>
      </c>
      <c r="J8" s="71"/>
      <c r="K8" s="50">
        <v>2015</v>
      </c>
      <c r="L8" s="61"/>
      <c r="M8" s="53"/>
      <c r="N8" s="50"/>
      <c r="O8" s="61">
        <v>2011</v>
      </c>
      <c r="P8" s="53">
        <v>2012</v>
      </c>
      <c r="Q8" s="53">
        <v>2008</v>
      </c>
      <c r="R8" s="50">
        <v>2015</v>
      </c>
      <c r="S8" s="61"/>
      <c r="T8" s="50"/>
      <c r="U8" s="61"/>
      <c r="V8" s="191"/>
      <c r="X8" s="3" t="s">
        <v>42</v>
      </c>
    </row>
    <row r="9" spans="1:24" x14ac:dyDescent="0.25">
      <c r="A9" s="20" t="s">
        <v>44</v>
      </c>
      <c r="B9" s="59">
        <v>2012</v>
      </c>
      <c r="C9" s="60">
        <v>2012</v>
      </c>
      <c r="D9" s="61">
        <v>2012</v>
      </c>
      <c r="E9" s="50">
        <v>2012</v>
      </c>
      <c r="F9" s="59">
        <v>2015</v>
      </c>
      <c r="G9" s="71">
        <v>2015</v>
      </c>
      <c r="H9" s="60">
        <v>2014</v>
      </c>
      <c r="I9" s="59">
        <v>2015</v>
      </c>
      <c r="J9" s="71"/>
      <c r="K9" s="191">
        <v>2015</v>
      </c>
      <c r="L9" s="61"/>
      <c r="M9" s="53"/>
      <c r="N9" s="50"/>
      <c r="O9" s="61">
        <v>2014</v>
      </c>
      <c r="P9" s="53">
        <v>2012</v>
      </c>
      <c r="Q9" s="53">
        <v>2013</v>
      </c>
      <c r="R9" s="50">
        <v>2015</v>
      </c>
      <c r="S9" s="61"/>
      <c r="T9" s="50"/>
      <c r="U9" s="61"/>
      <c r="V9" s="191"/>
      <c r="X9" s="3" t="s">
        <v>45</v>
      </c>
    </row>
    <row r="10" spans="1:24" x14ac:dyDescent="0.25">
      <c r="A10" s="20" t="s">
        <v>46</v>
      </c>
      <c r="B10" s="59">
        <v>2012</v>
      </c>
      <c r="C10" s="60">
        <v>2012</v>
      </c>
      <c r="D10" s="61">
        <v>2012</v>
      </c>
      <c r="E10" s="191">
        <v>2012</v>
      </c>
      <c r="F10" s="61">
        <v>2015</v>
      </c>
      <c r="G10" s="53">
        <v>2013</v>
      </c>
      <c r="H10" s="50">
        <v>2013</v>
      </c>
      <c r="I10" s="61">
        <v>2010</v>
      </c>
      <c r="J10" s="71"/>
      <c r="K10" s="50">
        <v>2015</v>
      </c>
      <c r="L10" s="61"/>
      <c r="M10" s="53"/>
      <c r="N10" s="50"/>
      <c r="O10" s="61">
        <v>2011</v>
      </c>
      <c r="P10" s="53" t="s">
        <v>202</v>
      </c>
      <c r="Q10" s="53">
        <v>2008</v>
      </c>
      <c r="R10" s="50">
        <v>2015</v>
      </c>
      <c r="S10" s="61"/>
      <c r="T10" s="50"/>
      <c r="U10" s="80" t="s">
        <v>203</v>
      </c>
      <c r="V10" s="191"/>
      <c r="X10" s="3" t="s">
        <v>42</v>
      </c>
    </row>
    <row r="11" spans="1:24" x14ac:dyDescent="0.25">
      <c r="A11" s="20" t="s">
        <v>50</v>
      </c>
      <c r="B11" s="59">
        <v>2012</v>
      </c>
      <c r="C11" s="60">
        <v>2012</v>
      </c>
      <c r="D11" s="61">
        <v>2010</v>
      </c>
      <c r="E11" s="50">
        <v>2012</v>
      </c>
      <c r="F11" s="61">
        <v>2015</v>
      </c>
      <c r="G11" s="65">
        <v>2015</v>
      </c>
      <c r="H11" s="50">
        <v>2013</v>
      </c>
      <c r="I11" s="61">
        <v>2012</v>
      </c>
      <c r="J11" s="71"/>
      <c r="K11" s="50">
        <v>2012</v>
      </c>
      <c r="L11" s="61"/>
      <c r="M11" s="53"/>
      <c r="N11" s="75"/>
      <c r="O11" s="61">
        <v>2014</v>
      </c>
      <c r="P11" s="53">
        <v>2012</v>
      </c>
      <c r="Q11" s="53">
        <v>2012</v>
      </c>
      <c r="R11" s="50">
        <v>2015</v>
      </c>
      <c r="S11" s="61"/>
      <c r="T11" s="50"/>
      <c r="U11" s="180"/>
      <c r="V11" s="191"/>
      <c r="X11" s="3" t="s">
        <v>51</v>
      </c>
    </row>
    <row r="12" spans="1:24" x14ac:dyDescent="0.25">
      <c r="A12" s="20" t="s">
        <v>52</v>
      </c>
      <c r="B12" s="59">
        <v>2012</v>
      </c>
      <c r="C12" s="60">
        <v>2012</v>
      </c>
      <c r="D12" s="61">
        <v>2012</v>
      </c>
      <c r="E12" s="50">
        <v>2012</v>
      </c>
      <c r="F12" s="61">
        <v>2015</v>
      </c>
      <c r="G12" s="53">
        <v>2015</v>
      </c>
      <c r="H12" s="60">
        <v>2013</v>
      </c>
      <c r="I12" s="59">
        <v>2011</v>
      </c>
      <c r="J12" s="71"/>
      <c r="K12" s="60">
        <v>2011</v>
      </c>
      <c r="L12" s="61"/>
      <c r="M12" s="53"/>
      <c r="N12" s="50"/>
      <c r="O12" s="61">
        <v>2014</v>
      </c>
      <c r="P12" s="71">
        <v>2012</v>
      </c>
      <c r="Q12" s="53">
        <v>2012</v>
      </c>
      <c r="R12" s="50">
        <v>2015</v>
      </c>
      <c r="S12" s="61"/>
      <c r="T12" s="50"/>
      <c r="U12" s="180"/>
      <c r="V12" s="191"/>
      <c r="X12" s="3" t="s">
        <v>51</v>
      </c>
    </row>
    <row r="13" spans="1:24" x14ac:dyDescent="0.25">
      <c r="A13" s="20" t="s">
        <v>54</v>
      </c>
      <c r="B13" s="59">
        <v>2012</v>
      </c>
      <c r="C13" s="60">
        <v>2012</v>
      </c>
      <c r="D13" s="61">
        <v>2012</v>
      </c>
      <c r="E13" s="74">
        <v>2012</v>
      </c>
      <c r="F13" s="59"/>
      <c r="G13" s="131">
        <v>2015</v>
      </c>
      <c r="H13" s="60">
        <v>2013</v>
      </c>
      <c r="I13" s="59">
        <v>2014</v>
      </c>
      <c r="J13" s="71"/>
      <c r="K13" s="60">
        <v>2015</v>
      </c>
      <c r="L13" s="61"/>
      <c r="M13" s="53"/>
      <c r="N13" s="50"/>
      <c r="O13" s="61">
        <v>2014</v>
      </c>
      <c r="P13" s="131">
        <v>2014</v>
      </c>
      <c r="Q13" s="53">
        <v>2015</v>
      </c>
      <c r="R13" s="60">
        <v>2015</v>
      </c>
      <c r="S13" s="61"/>
      <c r="T13" s="50"/>
      <c r="U13" s="180"/>
      <c r="V13" s="191"/>
      <c r="X13" s="3" t="s">
        <v>55</v>
      </c>
    </row>
    <row r="14" spans="1:24" x14ac:dyDescent="0.25">
      <c r="A14" s="20" t="s">
        <v>56</v>
      </c>
      <c r="B14" s="59">
        <v>2012</v>
      </c>
      <c r="C14" s="60" t="s">
        <v>204</v>
      </c>
      <c r="D14" s="61">
        <v>2012</v>
      </c>
      <c r="E14" s="74">
        <v>2012</v>
      </c>
      <c r="F14" s="59" t="s">
        <v>205</v>
      </c>
      <c r="G14" s="131">
        <v>2015</v>
      </c>
      <c r="H14" s="60" t="s">
        <v>206</v>
      </c>
      <c r="I14" s="80">
        <v>2014</v>
      </c>
      <c r="J14" s="71"/>
      <c r="K14" s="60" t="s">
        <v>207</v>
      </c>
      <c r="L14" s="61" t="s">
        <v>208</v>
      </c>
      <c r="M14" s="53" t="s">
        <v>209</v>
      </c>
      <c r="N14" s="50" t="s">
        <v>210</v>
      </c>
      <c r="O14" s="61">
        <v>2014</v>
      </c>
      <c r="P14" s="131" t="s">
        <v>211</v>
      </c>
      <c r="Q14" s="53" t="s">
        <v>212</v>
      </c>
      <c r="R14" s="60" t="s">
        <v>209</v>
      </c>
      <c r="S14" s="177"/>
      <c r="T14" s="50"/>
      <c r="U14" s="180"/>
      <c r="V14" s="191"/>
      <c r="X14" s="3" t="s">
        <v>55</v>
      </c>
    </row>
    <row r="15" spans="1:24" x14ac:dyDescent="0.25">
      <c r="A15" s="20" t="s">
        <v>57</v>
      </c>
      <c r="B15" s="61" t="s">
        <v>213</v>
      </c>
      <c r="C15" s="50" t="s">
        <v>214</v>
      </c>
      <c r="D15" s="61" t="s">
        <v>215</v>
      </c>
      <c r="E15" s="50" t="s">
        <v>216</v>
      </c>
      <c r="F15" s="180">
        <v>2015</v>
      </c>
      <c r="G15" s="206">
        <v>2015</v>
      </c>
      <c r="H15" s="74" t="s">
        <v>217</v>
      </c>
      <c r="I15" s="59" t="s">
        <v>218</v>
      </c>
      <c r="J15" s="71"/>
      <c r="K15" s="50" t="s">
        <v>219</v>
      </c>
      <c r="L15" s="61" t="s">
        <v>220</v>
      </c>
      <c r="M15" s="53" t="s">
        <v>157</v>
      </c>
      <c r="N15" s="50" t="s">
        <v>182</v>
      </c>
      <c r="O15" s="61" t="s">
        <v>114</v>
      </c>
      <c r="P15" s="53" t="s">
        <v>221</v>
      </c>
      <c r="Q15" s="53" t="s">
        <v>222</v>
      </c>
      <c r="R15" s="50" t="s">
        <v>114</v>
      </c>
      <c r="S15" s="61" t="s">
        <v>223</v>
      </c>
      <c r="T15" s="50" t="s">
        <v>224</v>
      </c>
      <c r="U15" s="61" t="s">
        <v>156</v>
      </c>
      <c r="V15" s="50"/>
      <c r="X15" s="3" t="s">
        <v>67</v>
      </c>
    </row>
    <row r="16" spans="1:24" x14ac:dyDescent="0.25">
      <c r="A16" s="20" t="s">
        <v>69</v>
      </c>
      <c r="B16" s="59">
        <v>2012</v>
      </c>
      <c r="C16" s="50">
        <v>2012</v>
      </c>
      <c r="D16" s="61" t="s">
        <v>225</v>
      </c>
      <c r="E16" s="50">
        <v>2012</v>
      </c>
      <c r="F16" s="59">
        <v>2015</v>
      </c>
      <c r="G16" s="71">
        <v>2015</v>
      </c>
      <c r="H16" s="60">
        <v>2013</v>
      </c>
      <c r="I16" s="59" t="s">
        <v>226</v>
      </c>
      <c r="J16" s="71"/>
      <c r="K16" s="50" t="s">
        <v>227</v>
      </c>
      <c r="L16" s="59"/>
      <c r="M16" s="71"/>
      <c r="N16" s="50"/>
      <c r="O16" s="61" t="s">
        <v>114</v>
      </c>
      <c r="P16" s="71">
        <v>2012</v>
      </c>
      <c r="Q16" s="53">
        <v>2015</v>
      </c>
      <c r="R16" s="50">
        <v>2015</v>
      </c>
      <c r="S16" s="61"/>
      <c r="T16" s="50"/>
      <c r="U16" s="59"/>
      <c r="V16" s="191"/>
      <c r="X16" s="3" t="s">
        <v>70</v>
      </c>
    </row>
    <row r="17" spans="1:24" x14ac:dyDescent="0.25">
      <c r="A17" s="20" t="s">
        <v>145</v>
      </c>
      <c r="B17" s="59">
        <v>2012</v>
      </c>
      <c r="C17" s="60">
        <v>2012</v>
      </c>
      <c r="D17" s="61">
        <v>2008</v>
      </c>
      <c r="E17" s="74">
        <v>2010</v>
      </c>
      <c r="F17" s="59"/>
      <c r="G17" s="65">
        <v>2015</v>
      </c>
      <c r="H17" s="208">
        <v>2015</v>
      </c>
      <c r="I17" s="177">
        <v>2009</v>
      </c>
      <c r="J17" s="71"/>
      <c r="K17" s="191">
        <v>2012</v>
      </c>
      <c r="L17" s="61"/>
      <c r="M17" s="65"/>
      <c r="N17" s="50"/>
      <c r="O17" s="61">
        <v>2011</v>
      </c>
      <c r="P17" s="131">
        <v>2014</v>
      </c>
      <c r="Q17" s="53">
        <v>2015</v>
      </c>
      <c r="R17" s="50">
        <v>2015</v>
      </c>
      <c r="S17" s="61"/>
      <c r="T17" s="50"/>
      <c r="U17" s="180"/>
      <c r="V17" s="191"/>
      <c r="X17" s="3" t="s">
        <v>42</v>
      </c>
    </row>
    <row r="18" spans="1:24" x14ac:dyDescent="0.25">
      <c r="A18" s="20" t="s">
        <v>71</v>
      </c>
      <c r="B18" s="59">
        <v>2008</v>
      </c>
      <c r="C18" s="60">
        <v>2008</v>
      </c>
      <c r="D18" s="61">
        <v>2008</v>
      </c>
      <c r="E18" s="75">
        <v>2008</v>
      </c>
      <c r="F18" s="61">
        <v>2015</v>
      </c>
      <c r="G18" s="53">
        <v>2015</v>
      </c>
      <c r="H18" s="50">
        <v>2013</v>
      </c>
      <c r="I18" s="61">
        <v>2009</v>
      </c>
      <c r="J18" s="71"/>
      <c r="K18" s="50">
        <v>2010</v>
      </c>
      <c r="L18" s="61"/>
      <c r="M18" s="53"/>
      <c r="N18" s="50"/>
      <c r="O18" s="61">
        <v>2011</v>
      </c>
      <c r="P18" s="53">
        <v>2012</v>
      </c>
      <c r="Q18" s="53">
        <v>2013</v>
      </c>
      <c r="R18" s="50">
        <v>2015</v>
      </c>
      <c r="S18" s="61"/>
      <c r="T18" s="50"/>
      <c r="U18" s="80"/>
      <c r="V18" s="191"/>
      <c r="X18" s="3" t="s">
        <v>42</v>
      </c>
    </row>
    <row r="19" spans="1:24" x14ac:dyDescent="0.25">
      <c r="A19" s="20" t="s">
        <v>72</v>
      </c>
      <c r="B19" s="59">
        <v>2008</v>
      </c>
      <c r="C19" s="60">
        <v>2008</v>
      </c>
      <c r="D19" s="61">
        <v>2008</v>
      </c>
      <c r="E19" s="50">
        <v>2008</v>
      </c>
      <c r="F19" s="61">
        <v>2015</v>
      </c>
      <c r="G19" s="131">
        <v>2015</v>
      </c>
      <c r="H19" s="50">
        <v>2013</v>
      </c>
      <c r="I19" s="61">
        <v>2009</v>
      </c>
      <c r="J19" s="71"/>
      <c r="K19" s="50">
        <v>2015</v>
      </c>
      <c r="L19" s="61"/>
      <c r="M19" s="53"/>
      <c r="N19" s="50"/>
      <c r="O19" s="61">
        <v>2011</v>
      </c>
      <c r="P19" s="53">
        <v>2015</v>
      </c>
      <c r="Q19" s="53">
        <v>2014</v>
      </c>
      <c r="R19" s="50">
        <v>2015</v>
      </c>
      <c r="S19" s="61"/>
      <c r="T19" s="50"/>
      <c r="U19" s="80"/>
      <c r="V19" s="191" t="s">
        <v>228</v>
      </c>
      <c r="X19" s="3" t="s">
        <v>42</v>
      </c>
    </row>
    <row r="20" spans="1:24" x14ac:dyDescent="0.25">
      <c r="A20" s="20" t="s">
        <v>73</v>
      </c>
      <c r="B20" s="59"/>
      <c r="C20" s="60"/>
      <c r="D20" s="61"/>
      <c r="E20" s="50"/>
      <c r="F20" s="61">
        <v>2015</v>
      </c>
      <c r="G20" s="131">
        <v>2015</v>
      </c>
      <c r="H20" s="50">
        <v>2013</v>
      </c>
      <c r="I20" s="61"/>
      <c r="J20" s="71"/>
      <c r="K20" s="50">
        <v>2015</v>
      </c>
      <c r="L20" s="61"/>
      <c r="M20" s="53"/>
      <c r="N20" s="50"/>
      <c r="O20" s="61"/>
      <c r="P20" s="53" t="s">
        <v>229</v>
      </c>
      <c r="Q20" s="53"/>
      <c r="R20" s="50">
        <v>2015</v>
      </c>
      <c r="S20" s="61"/>
      <c r="T20" s="50"/>
      <c r="U20" s="180"/>
      <c r="V20" s="191"/>
      <c r="X20" s="3" t="s">
        <v>42</v>
      </c>
    </row>
    <row r="21" spans="1:24" x14ac:dyDescent="0.25">
      <c r="A21" s="20" t="s">
        <v>74</v>
      </c>
      <c r="B21" s="59">
        <v>2012</v>
      </c>
      <c r="C21" s="60">
        <v>2012</v>
      </c>
      <c r="D21" s="61">
        <v>2008</v>
      </c>
      <c r="E21" s="50">
        <v>2008</v>
      </c>
      <c r="F21" s="61">
        <v>2015</v>
      </c>
      <c r="G21" s="131">
        <v>2013</v>
      </c>
      <c r="H21" s="50">
        <v>2013</v>
      </c>
      <c r="I21" s="61">
        <v>2009</v>
      </c>
      <c r="J21" s="71"/>
      <c r="K21" s="50">
        <v>2008</v>
      </c>
      <c r="L21" s="61"/>
      <c r="M21" s="53"/>
      <c r="N21" s="50"/>
      <c r="O21" s="61">
        <v>2011</v>
      </c>
      <c r="P21" s="53">
        <v>2008</v>
      </c>
      <c r="Q21" s="53">
        <v>2014</v>
      </c>
      <c r="R21" s="50">
        <v>2015</v>
      </c>
      <c r="S21" s="61"/>
      <c r="T21" s="50"/>
      <c r="U21" s="80"/>
      <c r="V21" s="50"/>
      <c r="X21" s="3" t="s">
        <v>42</v>
      </c>
    </row>
    <row r="22" spans="1:24" x14ac:dyDescent="0.25">
      <c r="A22" s="20" t="s">
        <v>75</v>
      </c>
      <c r="B22" s="59">
        <v>2012</v>
      </c>
      <c r="C22" s="60">
        <v>2012</v>
      </c>
      <c r="D22" s="61">
        <v>2012</v>
      </c>
      <c r="E22" s="50">
        <v>2012</v>
      </c>
      <c r="F22" s="61" t="s">
        <v>230</v>
      </c>
      <c r="G22" s="131" t="s">
        <v>230</v>
      </c>
      <c r="H22" s="50">
        <v>2013</v>
      </c>
      <c r="I22" s="61"/>
      <c r="J22" s="71"/>
      <c r="K22" s="50"/>
      <c r="L22" s="61"/>
      <c r="M22" s="53">
        <v>2015</v>
      </c>
      <c r="N22" s="50"/>
      <c r="O22" s="61" t="s">
        <v>231</v>
      </c>
      <c r="P22" s="53" t="s">
        <v>37</v>
      </c>
      <c r="Q22" s="53"/>
      <c r="R22" s="50">
        <v>2015</v>
      </c>
      <c r="S22" s="61"/>
      <c r="T22" s="50"/>
      <c r="U22" s="80" t="s">
        <v>232</v>
      </c>
      <c r="V22" s="191"/>
      <c r="X22" s="3" t="s">
        <v>76</v>
      </c>
    </row>
    <row r="23" spans="1:24" x14ac:dyDescent="0.25">
      <c r="A23" s="20" t="s">
        <v>78</v>
      </c>
      <c r="B23" s="59">
        <v>2012</v>
      </c>
      <c r="C23" s="60">
        <v>2012</v>
      </c>
      <c r="D23" s="61">
        <v>2008</v>
      </c>
      <c r="E23" s="50">
        <v>2010</v>
      </c>
      <c r="F23" s="61">
        <v>2015</v>
      </c>
      <c r="G23" s="53">
        <v>2015</v>
      </c>
      <c r="H23" s="50">
        <v>2013</v>
      </c>
      <c r="I23" s="61">
        <v>2010</v>
      </c>
      <c r="J23" s="71"/>
      <c r="K23" s="50">
        <v>2008</v>
      </c>
      <c r="L23" s="61"/>
      <c r="M23" s="53"/>
      <c r="N23" s="50"/>
      <c r="O23" s="61">
        <v>2011</v>
      </c>
      <c r="P23" s="53">
        <v>2008</v>
      </c>
      <c r="Q23" s="53">
        <v>2008</v>
      </c>
      <c r="R23" s="50">
        <v>2015</v>
      </c>
      <c r="S23" s="61"/>
      <c r="T23" s="50"/>
      <c r="U23" s="61"/>
      <c r="V23" s="50"/>
      <c r="X23" s="3" t="s">
        <v>42</v>
      </c>
    </row>
    <row r="24" spans="1:24" x14ac:dyDescent="0.25">
      <c r="A24" s="20" t="s">
        <v>146</v>
      </c>
      <c r="B24" s="59"/>
      <c r="C24" s="60"/>
      <c r="D24" s="61"/>
      <c r="E24" s="50"/>
      <c r="F24" s="61"/>
      <c r="G24" s="71"/>
      <c r="H24" s="50"/>
      <c r="I24" s="59"/>
      <c r="J24" s="71"/>
      <c r="K24" s="50"/>
      <c r="L24" s="61"/>
      <c r="M24" s="53"/>
      <c r="N24" s="50"/>
      <c r="O24" s="59"/>
      <c r="P24" s="71"/>
      <c r="Q24" s="53"/>
      <c r="R24" s="50" t="s">
        <v>114</v>
      </c>
      <c r="S24" s="61"/>
      <c r="T24" s="50"/>
      <c r="U24" s="61"/>
      <c r="V24" s="74"/>
    </row>
    <row r="25" spans="1:24" x14ac:dyDescent="0.25">
      <c r="A25" s="20" t="s">
        <v>79</v>
      </c>
      <c r="B25" s="59"/>
      <c r="C25" s="60"/>
      <c r="D25" s="61"/>
      <c r="E25" s="50"/>
      <c r="F25" s="61">
        <v>2015</v>
      </c>
      <c r="G25" s="53">
        <v>2015</v>
      </c>
      <c r="H25" s="50">
        <v>2013</v>
      </c>
      <c r="I25" s="61"/>
      <c r="J25" s="71"/>
      <c r="K25" s="60"/>
      <c r="L25" s="61"/>
      <c r="M25" s="53"/>
      <c r="N25" s="50"/>
      <c r="O25" s="61"/>
      <c r="P25" s="53"/>
      <c r="Q25" s="53"/>
      <c r="R25" s="60" t="s">
        <v>88</v>
      </c>
      <c r="S25" s="61"/>
      <c r="T25" s="50"/>
      <c r="U25" s="61"/>
      <c r="V25" s="191"/>
    </row>
    <row r="26" spans="1:24" x14ac:dyDescent="0.25">
      <c r="A26" s="20" t="s">
        <v>80</v>
      </c>
      <c r="B26" s="59"/>
      <c r="C26" s="60"/>
      <c r="D26" s="61"/>
      <c r="E26" s="50"/>
      <c r="F26" s="61"/>
      <c r="G26" s="131"/>
      <c r="H26" s="50"/>
      <c r="I26" s="61"/>
      <c r="J26" s="71"/>
      <c r="K26" s="60"/>
      <c r="L26" s="61"/>
      <c r="M26" s="53"/>
      <c r="N26" s="50"/>
      <c r="O26" s="61" t="s">
        <v>90</v>
      </c>
      <c r="P26" s="53" t="s">
        <v>90</v>
      </c>
      <c r="Q26" s="53" t="s">
        <v>90</v>
      </c>
      <c r="R26" s="50" t="s">
        <v>90</v>
      </c>
      <c r="S26" s="61"/>
      <c r="T26" s="50"/>
      <c r="U26" s="61"/>
      <c r="V26" s="191"/>
      <c r="X26" s="3" t="s">
        <v>42</v>
      </c>
    </row>
    <row r="27" spans="1:24" x14ac:dyDescent="0.25">
      <c r="A27" s="20" t="s">
        <v>167</v>
      </c>
      <c r="B27" s="84">
        <v>14</v>
      </c>
      <c r="C27" s="83">
        <v>14</v>
      </c>
      <c r="D27" s="84">
        <v>14</v>
      </c>
      <c r="E27" s="83">
        <v>14</v>
      </c>
      <c r="F27" s="84">
        <v>14</v>
      </c>
      <c r="G27" s="82">
        <v>14</v>
      </c>
      <c r="H27" s="83">
        <v>14</v>
      </c>
      <c r="I27" s="84">
        <v>14</v>
      </c>
      <c r="J27" s="82">
        <v>14</v>
      </c>
      <c r="K27" s="83">
        <v>14</v>
      </c>
      <c r="L27" s="84">
        <v>14</v>
      </c>
      <c r="M27" s="82">
        <v>14</v>
      </c>
      <c r="N27" s="83">
        <v>14</v>
      </c>
      <c r="O27" s="84">
        <v>0</v>
      </c>
      <c r="P27" s="82">
        <v>14</v>
      </c>
      <c r="Q27" s="82">
        <v>14</v>
      </c>
      <c r="R27" s="83">
        <v>3</v>
      </c>
      <c r="S27" s="84">
        <v>0</v>
      </c>
      <c r="T27" s="83">
        <v>0</v>
      </c>
      <c r="U27" s="84">
        <v>14</v>
      </c>
      <c r="V27" s="83">
        <v>14</v>
      </c>
    </row>
    <row r="28" spans="1:24" x14ac:dyDescent="0.25">
      <c r="A28" s="20" t="s">
        <v>83</v>
      </c>
      <c r="B28" s="84">
        <v>8</v>
      </c>
      <c r="C28" s="83">
        <v>0</v>
      </c>
      <c r="D28" s="84"/>
      <c r="E28" s="83"/>
      <c r="F28" s="84">
        <v>8</v>
      </c>
      <c r="G28" s="82">
        <v>8</v>
      </c>
      <c r="H28" s="83">
        <v>5</v>
      </c>
      <c r="I28" s="84">
        <v>8</v>
      </c>
      <c r="J28" s="82">
        <v>0</v>
      </c>
      <c r="K28" s="83">
        <v>5</v>
      </c>
      <c r="L28" s="84">
        <v>8</v>
      </c>
      <c r="M28" s="82">
        <v>5</v>
      </c>
      <c r="N28" s="83">
        <v>5</v>
      </c>
      <c r="O28" s="84">
        <v>0</v>
      </c>
      <c r="P28" s="82">
        <v>8</v>
      </c>
      <c r="Q28" s="82">
        <v>5</v>
      </c>
      <c r="R28" s="83">
        <v>0</v>
      </c>
      <c r="S28" s="84">
        <v>0</v>
      </c>
      <c r="T28" s="83">
        <v>0</v>
      </c>
      <c r="U28" s="84">
        <v>7</v>
      </c>
      <c r="V28" s="83">
        <v>5</v>
      </c>
    </row>
    <row r="29" spans="1:24" x14ac:dyDescent="0.25">
      <c r="A29" s="20" t="s">
        <v>84</v>
      </c>
      <c r="B29" s="314">
        <v>0</v>
      </c>
      <c r="C29" s="314"/>
      <c r="D29" s="314">
        <v>0</v>
      </c>
      <c r="E29" s="314"/>
      <c r="F29" s="314">
        <v>30</v>
      </c>
      <c r="G29" s="314"/>
      <c r="H29" s="314"/>
      <c r="I29" s="314" t="s">
        <v>37</v>
      </c>
      <c r="J29" s="314"/>
      <c r="K29" s="314"/>
      <c r="L29" s="314">
        <v>20</v>
      </c>
      <c r="M29" s="314"/>
      <c r="N29" s="314"/>
      <c r="O29" s="314">
        <v>22</v>
      </c>
      <c r="P29" s="314"/>
      <c r="Q29" s="314"/>
      <c r="R29" s="314"/>
      <c r="S29" s="314"/>
      <c r="T29" s="314"/>
      <c r="U29" s="314"/>
      <c r="V29" s="314"/>
    </row>
    <row r="30" spans="1:24" x14ac:dyDescent="0.25">
      <c r="A30" s="20" t="s">
        <v>85</v>
      </c>
      <c r="B30" s="314">
        <f>B27+C27-B28-C28-B29</f>
        <v>20</v>
      </c>
      <c r="C30" s="314"/>
      <c r="D30" s="314">
        <f>D27+E27-D28-E28-D29</f>
        <v>28</v>
      </c>
      <c r="E30" s="314"/>
      <c r="F30" s="314">
        <f>F27+G27+H27-F28-G28-H28-F29</f>
        <v>-9</v>
      </c>
      <c r="G30" s="314"/>
      <c r="H30" s="314"/>
      <c r="I30" s="314" t="e">
        <f>I27+J27+K27-I28-J28-K28-I29</f>
        <v>#VALUE!</v>
      </c>
      <c r="J30" s="314"/>
      <c r="K30" s="314"/>
      <c r="L30" s="314">
        <f>L27+M27+N27-L28-M28-N28-L29</f>
        <v>4</v>
      </c>
      <c r="M30" s="314"/>
      <c r="N30" s="314"/>
      <c r="O30" s="314">
        <f>O27+P27+Q27+R27-O28-P28-Q28-R28-O29</f>
        <v>-4</v>
      </c>
      <c r="P30" s="314"/>
      <c r="Q30" s="314"/>
      <c r="R30" s="314"/>
      <c r="S30" s="314">
        <f>S27+T27-S28-T28-S29</f>
        <v>0</v>
      </c>
      <c r="T30" s="314"/>
      <c r="U30" s="314">
        <f>U27+V27-U28-V28-U29</f>
        <v>16</v>
      </c>
      <c r="V30" s="314"/>
    </row>
    <row r="31" spans="1:24" x14ac:dyDescent="0.25">
      <c r="A31" s="20" t="s">
        <v>86</v>
      </c>
      <c r="B31" s="314" t="s">
        <v>88</v>
      </c>
      <c r="C31" s="314"/>
      <c r="D31" s="314"/>
      <c r="E31" s="314"/>
      <c r="F31" s="314" t="s">
        <v>88</v>
      </c>
      <c r="G31" s="314"/>
      <c r="H31" s="314"/>
      <c r="I31" s="314" t="s">
        <v>88</v>
      </c>
      <c r="J31" s="314"/>
      <c r="K31" s="314"/>
      <c r="L31" s="314"/>
      <c r="M31" s="314"/>
      <c r="N31" s="314"/>
      <c r="O31" s="314" t="s">
        <v>90</v>
      </c>
      <c r="P31" s="314"/>
      <c r="Q31" s="314"/>
      <c r="R31" s="314"/>
      <c r="S31" s="314"/>
      <c r="T31" s="314"/>
      <c r="U31" s="314" t="s">
        <v>88</v>
      </c>
      <c r="V31" s="314"/>
    </row>
    <row r="32" spans="1:24" x14ac:dyDescent="0.25">
      <c r="A32" s="20" t="s">
        <v>130</v>
      </c>
      <c r="B32" s="314" t="s">
        <v>114</v>
      </c>
      <c r="C32" s="314"/>
      <c r="D32" s="314" t="s">
        <v>114</v>
      </c>
      <c r="E32" s="314"/>
      <c r="F32" s="314" t="s">
        <v>233</v>
      </c>
      <c r="G32" s="314"/>
      <c r="H32" s="314"/>
      <c r="I32" s="314" t="s">
        <v>234</v>
      </c>
      <c r="J32" s="314"/>
      <c r="K32" s="314"/>
      <c r="L32" s="314" t="s">
        <v>235</v>
      </c>
      <c r="M32" s="314"/>
      <c r="N32" s="314"/>
      <c r="O32" s="316" t="s">
        <v>236</v>
      </c>
      <c r="P32" s="316"/>
      <c r="Q32" s="316"/>
      <c r="R32" s="316"/>
      <c r="S32" s="314" t="s">
        <v>237</v>
      </c>
      <c r="T32" s="314"/>
      <c r="U32" s="314" t="s">
        <v>114</v>
      </c>
      <c r="V32" s="314"/>
    </row>
    <row r="33" spans="1:22" s="118" customFormat="1" ht="192" x14ac:dyDescent="0.25">
      <c r="A33" s="194"/>
      <c r="B33" s="195" t="s">
        <v>238</v>
      </c>
      <c r="C33" s="196" t="s">
        <v>238</v>
      </c>
      <c r="D33" s="195" t="s">
        <v>238</v>
      </c>
      <c r="E33" s="196" t="s">
        <v>238</v>
      </c>
      <c r="F33" s="195"/>
      <c r="G33" s="197" t="s">
        <v>239</v>
      </c>
      <c r="H33" s="196"/>
      <c r="I33" s="195"/>
      <c r="J33" s="197" t="s">
        <v>238</v>
      </c>
      <c r="K33" s="196" t="s">
        <v>240</v>
      </c>
      <c r="L33" s="195"/>
      <c r="M33" s="197"/>
      <c r="N33" s="196"/>
      <c r="O33" s="195"/>
      <c r="P33" s="197"/>
      <c r="Q33" s="197" t="s">
        <v>241</v>
      </c>
      <c r="R33" s="196"/>
      <c r="S33" s="195"/>
      <c r="T33" s="196"/>
      <c r="U33" s="197" t="s">
        <v>242</v>
      </c>
      <c r="V33" s="197" t="s">
        <v>242</v>
      </c>
    </row>
    <row r="34" spans="1:22" s="64" customFormat="1" x14ac:dyDescent="0.25">
      <c r="A34" s="62" t="s">
        <v>91</v>
      </c>
      <c r="B34" s="52"/>
      <c r="C34" s="119"/>
      <c r="D34" s="52"/>
      <c r="E34" s="119"/>
      <c r="F34" s="52"/>
      <c r="H34" s="119"/>
      <c r="I34" s="52"/>
      <c r="K34" s="119"/>
      <c r="L34" s="52"/>
      <c r="N34" s="119"/>
      <c r="O34" s="52"/>
      <c r="R34" s="119"/>
      <c r="S34" s="52"/>
      <c r="T34" s="119"/>
      <c r="U34" s="52"/>
      <c r="V34" s="119"/>
    </row>
    <row r="35" spans="1:22" s="121" customFormat="1" x14ac:dyDescent="0.25">
      <c r="A35" s="86" t="s">
        <v>93</v>
      </c>
      <c r="B35" s="90"/>
      <c r="C35" s="120"/>
      <c r="D35" s="90"/>
      <c r="E35" s="120"/>
      <c r="F35" s="90"/>
      <c r="H35" s="120"/>
      <c r="I35" s="90"/>
      <c r="K35" s="120"/>
      <c r="L35" s="90"/>
      <c r="N35" s="120"/>
      <c r="O35" s="90"/>
      <c r="R35" s="120"/>
      <c r="S35" s="90"/>
      <c r="T35" s="120"/>
      <c r="U35" s="90"/>
      <c r="V35" s="120"/>
    </row>
    <row r="36" spans="1:22" s="122" customFormat="1" x14ac:dyDescent="0.25">
      <c r="A36" s="81" t="s">
        <v>94</v>
      </c>
      <c r="B36" s="78"/>
      <c r="C36" s="175"/>
      <c r="D36" s="78"/>
      <c r="E36" s="175"/>
      <c r="F36" s="78"/>
      <c r="H36" s="175"/>
      <c r="I36" s="78"/>
      <c r="K36" s="175"/>
      <c r="L36" s="78"/>
      <c r="N36" s="175"/>
      <c r="O36" s="78"/>
      <c r="R36" s="175"/>
      <c r="S36" s="78"/>
      <c r="T36" s="175"/>
      <c r="U36" s="78"/>
      <c r="V36" s="175"/>
    </row>
    <row r="37" spans="1:22" s="58" customFormat="1" x14ac:dyDescent="0.25">
      <c r="A37" s="70" t="s">
        <v>95</v>
      </c>
      <c r="B37" s="57"/>
      <c r="C37" s="123"/>
      <c r="D37" s="57"/>
      <c r="E37" s="123"/>
      <c r="F37" s="57"/>
      <c r="H37" s="123"/>
      <c r="I37" s="57"/>
      <c r="K37" s="123"/>
      <c r="L37" s="57"/>
      <c r="N37" s="123"/>
      <c r="O37" s="57"/>
      <c r="R37" s="123"/>
      <c r="S37" s="57"/>
      <c r="T37" s="123"/>
      <c r="U37" s="57"/>
      <c r="V37" s="123"/>
    </row>
    <row r="38" spans="1:22" s="126" customFormat="1" x14ac:dyDescent="0.25">
      <c r="A38" s="124" t="s">
        <v>96</v>
      </c>
      <c r="B38" s="125"/>
      <c r="C38" s="176"/>
      <c r="D38" s="125"/>
      <c r="E38" s="176"/>
      <c r="F38" s="125"/>
      <c r="H38" s="176"/>
      <c r="I38" s="125"/>
      <c r="K38" s="176"/>
      <c r="L38" s="125"/>
      <c r="N38" s="176"/>
      <c r="O38" s="125"/>
      <c r="R38" s="176"/>
      <c r="S38" s="125"/>
      <c r="T38" s="176"/>
      <c r="U38" s="125"/>
      <c r="V38" s="176"/>
    </row>
    <row r="39" spans="1:22" s="132" customFormat="1" x14ac:dyDescent="0.25">
      <c r="A39" s="128" t="s">
        <v>97</v>
      </c>
      <c r="B39" s="178"/>
      <c r="C39" s="179"/>
      <c r="D39" s="178"/>
      <c r="E39" s="179"/>
      <c r="F39" s="178"/>
      <c r="H39" s="179"/>
      <c r="I39" s="178"/>
      <c r="K39" s="179"/>
      <c r="L39" s="178"/>
      <c r="N39" s="179"/>
      <c r="O39" s="178"/>
      <c r="R39" s="179"/>
      <c r="S39" s="178"/>
      <c r="T39" s="179"/>
      <c r="U39" s="178"/>
      <c r="V39" s="179"/>
    </row>
  </sheetData>
  <mergeCells count="32">
    <mergeCell ref="O29:R29"/>
    <mergeCell ref="S29:T29"/>
    <mergeCell ref="U29:V29"/>
    <mergeCell ref="B30:C30"/>
    <mergeCell ref="D30:E30"/>
    <mergeCell ref="F30:H30"/>
    <mergeCell ref="I30:K30"/>
    <mergeCell ref="L30:N30"/>
    <mergeCell ref="O30:R30"/>
    <mergeCell ref="S30:T30"/>
    <mergeCell ref="U30:V30"/>
    <mergeCell ref="B29:C29"/>
    <mergeCell ref="D29:E29"/>
    <mergeCell ref="F29:H29"/>
    <mergeCell ref="I29:K29"/>
    <mergeCell ref="L29:N29"/>
    <mergeCell ref="O31:R31"/>
    <mergeCell ref="S31:T31"/>
    <mergeCell ref="U31:V31"/>
    <mergeCell ref="B32:C32"/>
    <mergeCell ref="D32:E32"/>
    <mergeCell ref="F32:H32"/>
    <mergeCell ref="I32:K32"/>
    <mergeCell ref="L32:N32"/>
    <mergeCell ref="O32:R32"/>
    <mergeCell ref="S32:T32"/>
    <mergeCell ref="U32:V32"/>
    <mergeCell ref="B31:C31"/>
    <mergeCell ref="D31:E31"/>
    <mergeCell ref="F31:H31"/>
    <mergeCell ref="I31:K31"/>
    <mergeCell ref="L31:N31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J4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defaultColWidth="8.85546875" defaultRowHeight="15" x14ac:dyDescent="0.25"/>
  <cols>
    <col min="1" max="1" width="26.42578125" style="3" customWidth="1"/>
    <col min="2" max="23" width="7.28515625" style="3" customWidth="1"/>
    <col min="24" max="1024" width="8.85546875" style="3"/>
  </cols>
  <sheetData>
    <row r="1" spans="1:25" s="19" customFormat="1" x14ac:dyDescent="0.25">
      <c r="A1" s="209"/>
      <c r="B1" s="209" t="s">
        <v>0</v>
      </c>
      <c r="C1" s="209" t="s">
        <v>1</v>
      </c>
      <c r="D1" s="209" t="s">
        <v>2</v>
      </c>
      <c r="E1" s="209" t="s">
        <v>3</v>
      </c>
      <c r="F1" s="209" t="s">
        <v>4</v>
      </c>
      <c r="G1" s="209" t="s">
        <v>5</v>
      </c>
      <c r="H1" s="209" t="s">
        <v>243</v>
      </c>
      <c r="I1" s="209" t="s">
        <v>6</v>
      </c>
      <c r="J1" s="209" t="s">
        <v>7</v>
      </c>
      <c r="K1" s="209" t="s">
        <v>9</v>
      </c>
      <c r="L1" s="209" t="s">
        <v>244</v>
      </c>
      <c r="M1" s="209" t="s">
        <v>10</v>
      </c>
      <c r="N1" s="209" t="s">
        <v>11</v>
      </c>
      <c r="O1" s="209" t="s">
        <v>13</v>
      </c>
      <c r="P1" s="209" t="s">
        <v>14</v>
      </c>
      <c r="Q1" s="209" t="s">
        <v>15</v>
      </c>
      <c r="R1" s="209" t="s">
        <v>16</v>
      </c>
      <c r="S1" s="209" t="s">
        <v>101</v>
      </c>
      <c r="T1" s="209" t="s">
        <v>19</v>
      </c>
      <c r="U1" s="209" t="s">
        <v>20</v>
      </c>
      <c r="V1" s="209" t="s">
        <v>21</v>
      </c>
      <c r="W1" s="209" t="s">
        <v>102</v>
      </c>
    </row>
    <row r="2" spans="1:25" x14ac:dyDescent="0.25">
      <c r="A2" s="187" t="s">
        <v>24</v>
      </c>
      <c r="B2" s="187" t="s">
        <v>189</v>
      </c>
      <c r="C2" s="187" t="s">
        <v>189</v>
      </c>
      <c r="D2" s="187" t="s">
        <v>189</v>
      </c>
      <c r="E2" s="187" t="s">
        <v>189</v>
      </c>
      <c r="F2" s="187" t="s">
        <v>188</v>
      </c>
      <c r="G2" s="187" t="s">
        <v>188</v>
      </c>
      <c r="H2" s="187" t="s">
        <v>188</v>
      </c>
      <c r="I2" s="187" t="s">
        <v>188</v>
      </c>
      <c r="J2" s="187" t="s">
        <v>245</v>
      </c>
      <c r="K2" s="187" t="s">
        <v>245</v>
      </c>
      <c r="L2" s="187" t="s">
        <v>245</v>
      </c>
      <c r="M2" s="187" t="s">
        <v>246</v>
      </c>
      <c r="N2" s="187" t="s">
        <v>246</v>
      </c>
      <c r="O2" s="187" t="s">
        <v>246</v>
      </c>
      <c r="P2" s="187" t="s">
        <v>193</v>
      </c>
      <c r="Q2" s="187" t="s">
        <v>193</v>
      </c>
      <c r="R2" s="187" t="s">
        <v>193</v>
      </c>
      <c r="S2" s="187" t="s">
        <v>193</v>
      </c>
      <c r="T2" s="187" t="s">
        <v>247</v>
      </c>
      <c r="U2" s="187" t="s">
        <v>247</v>
      </c>
      <c r="V2" s="187" t="s">
        <v>189</v>
      </c>
      <c r="W2" s="187" t="s">
        <v>189</v>
      </c>
    </row>
    <row r="3" spans="1:25" s="38" customFormat="1" x14ac:dyDescent="0.25">
      <c r="A3" s="32" t="s">
        <v>25</v>
      </c>
      <c r="B3" s="32"/>
      <c r="C3" s="32"/>
      <c r="D3" s="32"/>
      <c r="E3" s="32"/>
      <c r="F3" s="32" t="s">
        <v>248</v>
      </c>
      <c r="G3" s="32" t="s">
        <v>248</v>
      </c>
      <c r="H3" s="32" t="s">
        <v>248</v>
      </c>
      <c r="I3" s="32" t="s">
        <v>248</v>
      </c>
      <c r="J3" s="32" t="s">
        <v>249</v>
      </c>
      <c r="K3" s="32" t="s">
        <v>249</v>
      </c>
      <c r="L3" s="32" t="s">
        <v>249</v>
      </c>
      <c r="M3" s="32" t="s">
        <v>250</v>
      </c>
      <c r="N3" s="32" t="s">
        <v>250</v>
      </c>
      <c r="O3" s="32" t="s">
        <v>250</v>
      </c>
      <c r="P3" s="32" t="s">
        <v>250</v>
      </c>
      <c r="Q3" s="32" t="s">
        <v>250</v>
      </c>
      <c r="R3" s="32" t="s">
        <v>250</v>
      </c>
      <c r="S3" s="32" t="s">
        <v>251</v>
      </c>
      <c r="T3" s="32" t="s">
        <v>249</v>
      </c>
      <c r="U3" s="32" t="s">
        <v>249</v>
      </c>
      <c r="V3" s="32"/>
      <c r="W3" s="32"/>
    </row>
    <row r="4" spans="1:25" s="38" customFormat="1" x14ac:dyDescent="0.25">
      <c r="A4" s="32" t="s">
        <v>31</v>
      </c>
      <c r="B4" s="32" t="s">
        <v>133</v>
      </c>
      <c r="C4" s="32" t="s">
        <v>133</v>
      </c>
      <c r="D4" s="32" t="s">
        <v>133</v>
      </c>
      <c r="E4" s="32" t="s">
        <v>133</v>
      </c>
      <c r="F4" s="32" t="s">
        <v>133</v>
      </c>
      <c r="G4" s="32" t="s">
        <v>133</v>
      </c>
      <c r="H4" s="32" t="s">
        <v>133</v>
      </c>
      <c r="I4" s="32" t="s">
        <v>133</v>
      </c>
      <c r="J4" s="32" t="s">
        <v>133</v>
      </c>
      <c r="K4" s="32" t="s">
        <v>133</v>
      </c>
      <c r="L4" s="49" t="s">
        <v>252</v>
      </c>
      <c r="M4" s="32" t="s">
        <v>133</v>
      </c>
      <c r="N4" s="49" t="s">
        <v>253</v>
      </c>
      <c r="O4" s="49" t="s">
        <v>254</v>
      </c>
      <c r="P4" s="32" t="s">
        <v>133</v>
      </c>
      <c r="Q4" s="32" t="s">
        <v>133</v>
      </c>
      <c r="R4" s="32" t="s">
        <v>133</v>
      </c>
      <c r="S4" s="49" t="s">
        <v>255</v>
      </c>
      <c r="T4" s="32" t="s">
        <v>133</v>
      </c>
      <c r="U4" s="32" t="s">
        <v>133</v>
      </c>
      <c r="V4" s="32" t="s">
        <v>133</v>
      </c>
      <c r="W4" s="32" t="s">
        <v>133</v>
      </c>
    </row>
    <row r="5" spans="1:25" x14ac:dyDescent="0.25">
      <c r="A5" s="187" t="s">
        <v>38</v>
      </c>
      <c r="B5" s="82">
        <v>2012</v>
      </c>
      <c r="C5" s="82">
        <v>2012</v>
      </c>
      <c r="D5" s="53">
        <v>2008</v>
      </c>
      <c r="E5" s="53">
        <v>2008</v>
      </c>
      <c r="F5" s="53">
        <v>2009</v>
      </c>
      <c r="G5" s="53">
        <v>2010</v>
      </c>
      <c r="H5" s="53">
        <v>2009</v>
      </c>
      <c r="I5" s="53">
        <v>2013</v>
      </c>
      <c r="J5" s="53">
        <v>2009</v>
      </c>
      <c r="K5" s="53">
        <v>2008</v>
      </c>
      <c r="L5" s="71">
        <v>2012</v>
      </c>
      <c r="M5" s="53">
        <v>2009</v>
      </c>
      <c r="N5" s="131">
        <v>2014</v>
      </c>
      <c r="O5" s="131"/>
      <c r="P5" s="53">
        <v>2011</v>
      </c>
      <c r="Q5" s="53">
        <v>2008</v>
      </c>
      <c r="R5" s="53">
        <v>2014</v>
      </c>
      <c r="S5" s="71">
        <v>2009</v>
      </c>
      <c r="T5" s="53">
        <v>2013</v>
      </c>
      <c r="U5" s="53">
        <v>2009</v>
      </c>
      <c r="V5" s="53"/>
      <c r="W5" s="53"/>
    </row>
    <row r="6" spans="1:25" x14ac:dyDescent="0.25">
      <c r="A6" s="187" t="s">
        <v>39</v>
      </c>
      <c r="B6" s="53">
        <v>3.4</v>
      </c>
      <c r="C6" s="53">
        <v>3.4</v>
      </c>
      <c r="D6" s="53">
        <v>3.4</v>
      </c>
      <c r="E6" s="53">
        <v>3.4</v>
      </c>
      <c r="F6" s="53">
        <v>3.4</v>
      </c>
      <c r="G6" s="53">
        <v>3.4</v>
      </c>
      <c r="H6" s="53">
        <v>3.4</v>
      </c>
      <c r="I6" s="53">
        <v>3.4</v>
      </c>
      <c r="J6" s="53">
        <v>3.4</v>
      </c>
      <c r="K6" s="53">
        <v>3.5</v>
      </c>
      <c r="L6" s="71">
        <v>3.4</v>
      </c>
      <c r="M6" s="53">
        <v>3.4</v>
      </c>
      <c r="N6" s="53">
        <v>3.3</v>
      </c>
      <c r="O6" s="131"/>
      <c r="P6" s="53">
        <v>3.4</v>
      </c>
      <c r="Q6" s="53">
        <v>3.4</v>
      </c>
      <c r="R6" s="53">
        <v>3.3</v>
      </c>
      <c r="S6" s="71">
        <v>3.4</v>
      </c>
      <c r="T6" s="53">
        <v>3.4</v>
      </c>
      <c r="U6" s="53">
        <v>3.3</v>
      </c>
      <c r="V6" s="53">
        <v>3.4</v>
      </c>
      <c r="W6" s="53">
        <v>3.4</v>
      </c>
      <c r="Y6" s="3" t="s">
        <v>40</v>
      </c>
    </row>
    <row r="7" spans="1:25" x14ac:dyDescent="0.25">
      <c r="A7" s="187" t="s">
        <v>41</v>
      </c>
      <c r="B7" s="53">
        <v>2012</v>
      </c>
      <c r="C7" s="53">
        <v>2012</v>
      </c>
      <c r="D7" s="53">
        <v>2008</v>
      </c>
      <c r="E7" s="53">
        <v>2008</v>
      </c>
      <c r="F7" s="53">
        <v>2009</v>
      </c>
      <c r="G7" s="65">
        <v>2010</v>
      </c>
      <c r="H7" s="53">
        <v>2009</v>
      </c>
      <c r="I7" s="53">
        <v>2013</v>
      </c>
      <c r="J7" s="53">
        <v>2009</v>
      </c>
      <c r="K7" s="53">
        <v>2008</v>
      </c>
      <c r="L7" s="71">
        <v>2012</v>
      </c>
      <c r="M7" s="53">
        <v>2009</v>
      </c>
      <c r="N7" s="53">
        <v>2014</v>
      </c>
      <c r="O7" s="131"/>
      <c r="P7" s="53">
        <v>2011</v>
      </c>
      <c r="Q7" s="53">
        <v>2008</v>
      </c>
      <c r="R7" s="53">
        <v>2014</v>
      </c>
      <c r="S7" s="71">
        <v>2009</v>
      </c>
      <c r="T7" s="53">
        <v>2013</v>
      </c>
      <c r="U7" s="53">
        <v>2009</v>
      </c>
      <c r="V7" s="53"/>
      <c r="W7" s="53"/>
      <c r="Y7" s="3" t="s">
        <v>42</v>
      </c>
    </row>
    <row r="8" spans="1:25" x14ac:dyDescent="0.25">
      <c r="A8" s="187" t="s">
        <v>43</v>
      </c>
      <c r="B8" s="53">
        <v>2012</v>
      </c>
      <c r="C8" s="53">
        <v>2012</v>
      </c>
      <c r="D8" s="53">
        <v>2012</v>
      </c>
      <c r="E8" s="53">
        <v>2012</v>
      </c>
      <c r="F8" s="53">
        <v>2013</v>
      </c>
      <c r="G8" s="53">
        <v>2013</v>
      </c>
      <c r="H8" s="53">
        <v>2011</v>
      </c>
      <c r="I8" s="53">
        <v>2013</v>
      </c>
      <c r="J8" s="53">
        <v>2010</v>
      </c>
      <c r="K8" s="53">
        <v>2013</v>
      </c>
      <c r="L8" s="71" t="s">
        <v>256</v>
      </c>
      <c r="M8" s="53">
        <v>2011</v>
      </c>
      <c r="N8" s="53">
        <v>2013</v>
      </c>
      <c r="O8" s="127"/>
      <c r="P8" s="53">
        <v>2011</v>
      </c>
      <c r="Q8" s="53">
        <v>2012</v>
      </c>
      <c r="R8" s="53">
        <v>2008</v>
      </c>
      <c r="S8" s="71">
        <v>2014</v>
      </c>
      <c r="T8" s="65">
        <v>2012</v>
      </c>
      <c r="U8" s="53">
        <v>2012</v>
      </c>
      <c r="V8" s="53"/>
      <c r="W8" s="53"/>
      <c r="Y8" s="3" t="s">
        <v>42</v>
      </c>
    </row>
    <row r="9" spans="1:25" x14ac:dyDescent="0.25">
      <c r="A9" s="187" t="s">
        <v>44</v>
      </c>
      <c r="B9" s="82">
        <v>2012</v>
      </c>
      <c r="C9" s="82">
        <v>2012</v>
      </c>
      <c r="D9" s="82">
        <v>2012</v>
      </c>
      <c r="E9" s="82">
        <v>2012</v>
      </c>
      <c r="F9" s="53">
        <v>2014</v>
      </c>
      <c r="G9" s="65">
        <v>2014</v>
      </c>
      <c r="H9" s="71">
        <v>2014</v>
      </c>
      <c r="I9" s="71">
        <v>2014</v>
      </c>
      <c r="J9" s="71">
        <v>2013</v>
      </c>
      <c r="K9" s="71">
        <v>2013</v>
      </c>
      <c r="L9" s="65">
        <v>2013</v>
      </c>
      <c r="M9" s="71">
        <v>2014</v>
      </c>
      <c r="N9" s="71">
        <v>2014</v>
      </c>
      <c r="O9" s="71"/>
      <c r="P9" s="71">
        <v>2014</v>
      </c>
      <c r="Q9" s="71">
        <v>2012</v>
      </c>
      <c r="R9" s="65">
        <v>2013</v>
      </c>
      <c r="S9" s="71">
        <v>2014</v>
      </c>
      <c r="T9" s="65">
        <v>2013</v>
      </c>
      <c r="U9" s="71">
        <v>2013</v>
      </c>
      <c r="V9" s="53"/>
      <c r="W9" s="53"/>
      <c r="Y9" s="3" t="s">
        <v>45</v>
      </c>
    </row>
    <row r="10" spans="1:25" x14ac:dyDescent="0.25">
      <c r="A10" s="187" t="s">
        <v>46</v>
      </c>
      <c r="B10" s="82">
        <v>2012</v>
      </c>
      <c r="C10" s="82">
        <v>2012</v>
      </c>
      <c r="D10" s="53">
        <v>2012</v>
      </c>
      <c r="E10" s="53">
        <v>2012</v>
      </c>
      <c r="F10" s="53"/>
      <c r="G10" s="65"/>
      <c r="H10" s="53"/>
      <c r="I10" s="131">
        <v>2013</v>
      </c>
      <c r="J10" s="53"/>
      <c r="K10" s="131" t="s">
        <v>257</v>
      </c>
      <c r="L10" s="71" t="s">
        <v>257</v>
      </c>
      <c r="M10" s="53">
        <v>2011</v>
      </c>
      <c r="N10" s="53">
        <v>2013</v>
      </c>
      <c r="O10" s="127"/>
      <c r="P10" s="53">
        <v>2011</v>
      </c>
      <c r="Q10" s="53">
        <v>2012</v>
      </c>
      <c r="R10" s="53" t="s">
        <v>258</v>
      </c>
      <c r="S10" s="71">
        <v>2014</v>
      </c>
      <c r="T10" s="53">
        <v>2013</v>
      </c>
      <c r="U10" s="53"/>
      <c r="V10" s="53"/>
      <c r="W10" s="53"/>
      <c r="Y10" s="3" t="s">
        <v>42</v>
      </c>
    </row>
    <row r="11" spans="1:25" x14ac:dyDescent="0.25">
      <c r="A11" s="187" t="s">
        <v>50</v>
      </c>
      <c r="B11" s="82">
        <v>2012</v>
      </c>
      <c r="C11" s="82">
        <v>2012</v>
      </c>
      <c r="D11" s="82">
        <v>2010</v>
      </c>
      <c r="E11" s="82">
        <v>2012</v>
      </c>
      <c r="F11" s="53" t="s">
        <v>259</v>
      </c>
      <c r="G11" s="65">
        <v>2011</v>
      </c>
      <c r="H11" s="53">
        <v>2011</v>
      </c>
      <c r="I11" s="53" t="s">
        <v>260</v>
      </c>
      <c r="J11" s="53">
        <v>2012</v>
      </c>
      <c r="K11" s="131" t="s">
        <v>261</v>
      </c>
      <c r="L11" s="71" t="s">
        <v>262</v>
      </c>
      <c r="M11" s="53">
        <v>2013</v>
      </c>
      <c r="N11" s="53">
        <v>2013</v>
      </c>
      <c r="O11" s="127"/>
      <c r="P11" s="53">
        <v>2014</v>
      </c>
      <c r="Q11" s="53">
        <v>2012</v>
      </c>
      <c r="R11" s="53">
        <v>2012</v>
      </c>
      <c r="S11" s="71">
        <v>2012</v>
      </c>
      <c r="T11" s="131">
        <v>2013</v>
      </c>
      <c r="U11" s="53">
        <v>2012</v>
      </c>
      <c r="V11" s="53"/>
      <c r="W11" s="53"/>
      <c r="Y11" s="3" t="s">
        <v>51</v>
      </c>
    </row>
    <row r="12" spans="1:25" x14ac:dyDescent="0.25">
      <c r="A12" s="187" t="s">
        <v>52</v>
      </c>
      <c r="B12" s="82">
        <v>2012</v>
      </c>
      <c r="C12" s="82">
        <v>2012</v>
      </c>
      <c r="D12" s="82">
        <v>2012</v>
      </c>
      <c r="E12" s="82">
        <v>2012</v>
      </c>
      <c r="F12" s="53" t="s">
        <v>263</v>
      </c>
      <c r="G12" s="65">
        <v>2012</v>
      </c>
      <c r="H12" s="53">
        <v>2012</v>
      </c>
      <c r="I12" s="53">
        <v>2013</v>
      </c>
      <c r="J12" s="53">
        <v>2011</v>
      </c>
      <c r="K12" s="131" t="s">
        <v>264</v>
      </c>
      <c r="L12" s="71">
        <v>2012</v>
      </c>
      <c r="M12" s="53">
        <v>2013</v>
      </c>
      <c r="N12" s="53">
        <v>2013</v>
      </c>
      <c r="O12" s="127"/>
      <c r="P12" s="53">
        <v>2014</v>
      </c>
      <c r="Q12" s="53">
        <v>2012</v>
      </c>
      <c r="R12" s="53">
        <v>2012</v>
      </c>
      <c r="S12" s="71">
        <v>2012</v>
      </c>
      <c r="T12" s="131" t="s">
        <v>265</v>
      </c>
      <c r="U12" s="53">
        <v>2013</v>
      </c>
      <c r="V12" s="53"/>
      <c r="W12" s="53"/>
      <c r="Y12" s="3" t="s">
        <v>51</v>
      </c>
    </row>
    <row r="13" spans="1:25" x14ac:dyDescent="0.25">
      <c r="A13" s="187" t="s">
        <v>54</v>
      </c>
      <c r="B13" s="53">
        <v>2012</v>
      </c>
      <c r="C13" s="53">
        <v>2012</v>
      </c>
      <c r="D13" s="53">
        <v>2012</v>
      </c>
      <c r="E13" s="53">
        <v>2012</v>
      </c>
      <c r="F13" s="71">
        <v>2013</v>
      </c>
      <c r="G13" s="71">
        <v>2010</v>
      </c>
      <c r="H13" s="71">
        <v>2014</v>
      </c>
      <c r="I13" s="71">
        <v>2013</v>
      </c>
      <c r="J13" s="71">
        <v>2010</v>
      </c>
      <c r="K13" s="71">
        <v>2010</v>
      </c>
      <c r="L13" s="71">
        <v>2012</v>
      </c>
      <c r="M13" s="71">
        <v>2014</v>
      </c>
      <c r="N13" s="71">
        <v>2013</v>
      </c>
      <c r="O13" s="71"/>
      <c r="P13" s="71">
        <v>2014</v>
      </c>
      <c r="Q13" s="53">
        <v>2015</v>
      </c>
      <c r="R13" s="71">
        <v>2014</v>
      </c>
      <c r="S13" s="71">
        <v>2014</v>
      </c>
      <c r="T13" s="71">
        <v>2013</v>
      </c>
      <c r="U13" s="71">
        <v>2013</v>
      </c>
      <c r="V13" s="53"/>
      <c r="W13" s="53"/>
      <c r="Y13" s="3" t="s">
        <v>55</v>
      </c>
    </row>
    <row r="14" spans="1:25" x14ac:dyDescent="0.25">
      <c r="A14" s="187" t="s">
        <v>56</v>
      </c>
      <c r="B14" s="65">
        <v>2012</v>
      </c>
      <c r="C14" s="53">
        <v>2012</v>
      </c>
      <c r="D14" s="53">
        <v>2012</v>
      </c>
      <c r="E14" s="53">
        <v>2012</v>
      </c>
      <c r="F14" s="71">
        <v>2012</v>
      </c>
      <c r="G14" s="65">
        <v>2012</v>
      </c>
      <c r="H14" s="65">
        <v>2014</v>
      </c>
      <c r="I14" s="71">
        <v>2013</v>
      </c>
      <c r="J14" s="71">
        <v>2010</v>
      </c>
      <c r="K14" s="71">
        <v>2010</v>
      </c>
      <c r="L14" s="71">
        <v>2012</v>
      </c>
      <c r="M14" s="71">
        <v>2014</v>
      </c>
      <c r="N14" s="131">
        <v>2014</v>
      </c>
      <c r="O14" s="71"/>
      <c r="P14" s="71" t="s">
        <v>114</v>
      </c>
      <c r="Q14" s="53">
        <v>2015</v>
      </c>
      <c r="R14" s="131">
        <v>2014</v>
      </c>
      <c r="S14" s="71">
        <v>2014</v>
      </c>
      <c r="T14" s="71">
        <v>2013</v>
      </c>
      <c r="U14" s="71">
        <v>2013</v>
      </c>
      <c r="V14" s="53"/>
      <c r="W14" s="53"/>
      <c r="Y14" s="3" t="s">
        <v>55</v>
      </c>
    </row>
    <row r="15" spans="1:25" x14ac:dyDescent="0.25">
      <c r="A15" s="187" t="s">
        <v>57</v>
      </c>
      <c r="B15" s="82">
        <v>2012</v>
      </c>
      <c r="C15" s="82">
        <v>2012</v>
      </c>
      <c r="D15" s="53" t="s">
        <v>266</v>
      </c>
      <c r="E15" s="127" t="s">
        <v>267</v>
      </c>
      <c r="F15" s="53" t="s">
        <v>268</v>
      </c>
      <c r="G15" s="210" t="s">
        <v>269</v>
      </c>
      <c r="H15" s="71" t="s">
        <v>270</v>
      </c>
      <c r="I15" s="53" t="s">
        <v>271</v>
      </c>
      <c r="J15" s="53" t="s">
        <v>272</v>
      </c>
      <c r="K15" s="53" t="s">
        <v>273</v>
      </c>
      <c r="L15" s="71" t="s">
        <v>274</v>
      </c>
      <c r="M15" s="53" t="s">
        <v>275</v>
      </c>
      <c r="N15" s="53" t="s">
        <v>276</v>
      </c>
      <c r="O15" s="127"/>
      <c r="P15" s="53" t="s">
        <v>114</v>
      </c>
      <c r="Q15" s="53" t="s">
        <v>277</v>
      </c>
      <c r="R15" s="71" t="s">
        <v>278</v>
      </c>
      <c r="S15" s="71" t="s">
        <v>114</v>
      </c>
      <c r="T15" s="127" t="s">
        <v>279</v>
      </c>
      <c r="U15" s="53" t="s">
        <v>280</v>
      </c>
      <c r="V15" s="53">
        <v>11.4</v>
      </c>
      <c r="W15" s="53">
        <v>11.1</v>
      </c>
      <c r="Y15" s="3" t="s">
        <v>281</v>
      </c>
    </row>
    <row r="16" spans="1:25" x14ac:dyDescent="0.25">
      <c r="A16" s="187" t="s">
        <v>69</v>
      </c>
      <c r="B16" s="82">
        <v>2012</v>
      </c>
      <c r="C16" s="82">
        <v>2012</v>
      </c>
      <c r="D16" s="82" t="s">
        <v>225</v>
      </c>
      <c r="E16" s="82">
        <v>2012</v>
      </c>
      <c r="F16" s="71">
        <v>2014</v>
      </c>
      <c r="G16" s="65">
        <v>2014</v>
      </c>
      <c r="H16" s="71">
        <v>2014</v>
      </c>
      <c r="I16" s="71">
        <v>2013</v>
      </c>
      <c r="J16" s="71">
        <v>2011</v>
      </c>
      <c r="K16" s="65">
        <v>2010</v>
      </c>
      <c r="L16" s="71">
        <v>2012</v>
      </c>
      <c r="M16" s="71">
        <v>2014</v>
      </c>
      <c r="N16" s="71">
        <v>2014</v>
      </c>
      <c r="O16" s="131"/>
      <c r="P16" s="53" t="s">
        <v>114</v>
      </c>
      <c r="Q16" s="71">
        <v>2012</v>
      </c>
      <c r="R16" s="65">
        <v>2012</v>
      </c>
      <c r="S16" s="71">
        <v>2013</v>
      </c>
      <c r="T16" s="71" t="s">
        <v>282</v>
      </c>
      <c r="U16" s="71">
        <v>2009</v>
      </c>
      <c r="V16" s="53"/>
      <c r="W16" s="53"/>
      <c r="Y16" s="3" t="s">
        <v>70</v>
      </c>
    </row>
    <row r="17" spans="1:25" x14ac:dyDescent="0.25">
      <c r="A17" s="187" t="s">
        <v>145</v>
      </c>
      <c r="B17" s="82">
        <v>2012</v>
      </c>
      <c r="C17" s="82">
        <v>2012</v>
      </c>
      <c r="D17" s="82">
        <v>2008</v>
      </c>
      <c r="E17" s="82">
        <v>2010</v>
      </c>
      <c r="F17" s="131" t="s">
        <v>283</v>
      </c>
      <c r="G17" s="65" t="s">
        <v>284</v>
      </c>
      <c r="H17" s="65">
        <v>2013</v>
      </c>
      <c r="I17" s="131" t="s">
        <v>285</v>
      </c>
      <c r="J17" s="53">
        <v>2009</v>
      </c>
      <c r="K17" s="65" t="s">
        <v>286</v>
      </c>
      <c r="L17" s="71">
        <v>2012</v>
      </c>
      <c r="M17" s="131" t="s">
        <v>287</v>
      </c>
      <c r="N17" s="53">
        <v>2013</v>
      </c>
      <c r="O17" s="127"/>
      <c r="P17" s="53">
        <v>2011</v>
      </c>
      <c r="Q17" s="53">
        <v>2014</v>
      </c>
      <c r="R17" s="65">
        <v>2013</v>
      </c>
      <c r="S17" s="71">
        <v>2013</v>
      </c>
      <c r="T17" s="131" t="s">
        <v>288</v>
      </c>
      <c r="U17" s="53">
        <v>2009</v>
      </c>
      <c r="V17" s="53"/>
      <c r="W17" s="127"/>
      <c r="Y17" s="3" t="s">
        <v>42</v>
      </c>
    </row>
    <row r="18" spans="1:25" x14ac:dyDescent="0.25">
      <c r="A18" s="187" t="s">
        <v>71</v>
      </c>
      <c r="B18" s="82">
        <v>2008</v>
      </c>
      <c r="C18" s="82">
        <v>2008</v>
      </c>
      <c r="D18" s="82">
        <v>2008</v>
      </c>
      <c r="E18" s="82">
        <v>2008</v>
      </c>
      <c r="F18" s="53">
        <v>2012</v>
      </c>
      <c r="G18" s="53">
        <v>2013</v>
      </c>
      <c r="H18" s="53">
        <v>2012</v>
      </c>
      <c r="I18" s="65">
        <v>2013</v>
      </c>
      <c r="J18" s="53">
        <v>2009</v>
      </c>
      <c r="K18" s="53">
        <v>2010</v>
      </c>
      <c r="L18" s="71">
        <v>2013</v>
      </c>
      <c r="M18" s="53">
        <v>2012</v>
      </c>
      <c r="N18" s="53">
        <v>2012</v>
      </c>
      <c r="O18" s="131"/>
      <c r="P18" s="53">
        <v>2011</v>
      </c>
      <c r="Q18" s="53">
        <v>2012</v>
      </c>
      <c r="R18" s="53">
        <v>2013</v>
      </c>
      <c r="S18" s="71">
        <v>2013</v>
      </c>
      <c r="T18" s="53">
        <v>2013</v>
      </c>
      <c r="U18" s="53">
        <v>2009</v>
      </c>
      <c r="V18" s="53"/>
      <c r="W18" s="53"/>
      <c r="Y18" s="3" t="s">
        <v>42</v>
      </c>
    </row>
    <row r="19" spans="1:25" x14ac:dyDescent="0.25">
      <c r="A19" s="187" t="s">
        <v>72</v>
      </c>
      <c r="B19" s="82">
        <v>2008</v>
      </c>
      <c r="C19" s="82">
        <v>2008</v>
      </c>
      <c r="D19" s="82">
        <v>2008</v>
      </c>
      <c r="E19" s="82">
        <v>2008</v>
      </c>
      <c r="F19" s="53">
        <v>2009</v>
      </c>
      <c r="G19" s="53">
        <v>2013</v>
      </c>
      <c r="H19" s="53">
        <v>2013</v>
      </c>
      <c r="I19" s="53">
        <v>2013</v>
      </c>
      <c r="J19" s="53">
        <v>2009</v>
      </c>
      <c r="K19" s="53">
        <v>2013</v>
      </c>
      <c r="L19" s="71">
        <v>2013</v>
      </c>
      <c r="M19" s="53">
        <v>2009</v>
      </c>
      <c r="N19" s="131">
        <v>2014</v>
      </c>
      <c r="O19" s="131"/>
      <c r="P19" s="53">
        <v>2011</v>
      </c>
      <c r="Q19" s="53">
        <v>2015</v>
      </c>
      <c r="R19" s="53">
        <v>2014</v>
      </c>
      <c r="S19" s="71">
        <v>2015</v>
      </c>
      <c r="T19" s="53">
        <v>2013</v>
      </c>
      <c r="U19" s="53">
        <v>2009</v>
      </c>
      <c r="V19" s="53"/>
      <c r="W19" s="53"/>
      <c r="Y19" s="3" t="s">
        <v>42</v>
      </c>
    </row>
    <row r="20" spans="1:25" x14ac:dyDescent="0.25">
      <c r="A20" s="187" t="s">
        <v>73</v>
      </c>
      <c r="B20" s="82"/>
      <c r="C20" s="82"/>
      <c r="D20" s="82"/>
      <c r="E20" s="82"/>
      <c r="F20" s="53"/>
      <c r="G20" s="131"/>
      <c r="H20" s="53"/>
      <c r="I20" s="53">
        <v>2013</v>
      </c>
      <c r="J20" s="53"/>
      <c r="K20" s="53"/>
      <c r="L20" s="71"/>
      <c r="M20" s="53"/>
      <c r="N20" s="131"/>
      <c r="O20" s="131"/>
      <c r="P20" s="53"/>
      <c r="Q20" s="53"/>
      <c r="R20" s="53"/>
      <c r="S20" s="71"/>
      <c r="T20" s="53"/>
      <c r="U20" s="53"/>
      <c r="V20" s="53"/>
      <c r="W20" s="53"/>
      <c r="Y20" s="3" t="s">
        <v>42</v>
      </c>
    </row>
    <row r="21" spans="1:25" x14ac:dyDescent="0.25">
      <c r="A21" s="187" t="s">
        <v>74</v>
      </c>
      <c r="B21" s="82">
        <v>2012</v>
      </c>
      <c r="C21" s="82">
        <v>2012</v>
      </c>
      <c r="D21" s="82">
        <v>2008</v>
      </c>
      <c r="E21" s="82">
        <v>2008</v>
      </c>
      <c r="F21" s="53">
        <v>2009</v>
      </c>
      <c r="G21" s="53">
        <v>2013</v>
      </c>
      <c r="H21" s="53">
        <v>2009</v>
      </c>
      <c r="I21" s="53">
        <v>2013</v>
      </c>
      <c r="J21" s="53">
        <v>2009</v>
      </c>
      <c r="K21" s="53">
        <v>2008</v>
      </c>
      <c r="L21" s="71">
        <v>2013</v>
      </c>
      <c r="M21" s="53">
        <v>2013</v>
      </c>
      <c r="N21" s="131">
        <v>2013</v>
      </c>
      <c r="O21" s="127"/>
      <c r="P21" s="53">
        <v>2011</v>
      </c>
      <c r="Q21" s="53">
        <v>2008</v>
      </c>
      <c r="R21" s="53">
        <v>2014</v>
      </c>
      <c r="S21" s="71">
        <v>2009</v>
      </c>
      <c r="T21" s="53">
        <v>2013</v>
      </c>
      <c r="U21" s="53">
        <v>2009</v>
      </c>
      <c r="V21" s="53"/>
      <c r="W21" s="53"/>
      <c r="Y21" s="3" t="s">
        <v>42</v>
      </c>
    </row>
    <row r="22" spans="1:25" x14ac:dyDescent="0.25">
      <c r="A22" s="187" t="s">
        <v>75</v>
      </c>
      <c r="B22" s="82">
        <v>2012</v>
      </c>
      <c r="C22" s="82">
        <v>2012</v>
      </c>
      <c r="D22" s="53">
        <v>2012</v>
      </c>
      <c r="E22" s="53">
        <v>2012</v>
      </c>
      <c r="F22" s="53"/>
      <c r="G22" s="53"/>
      <c r="H22" s="53"/>
      <c r="I22" s="53" t="s">
        <v>289</v>
      </c>
      <c r="J22" s="53" t="s">
        <v>290</v>
      </c>
      <c r="K22" s="53" t="s">
        <v>291</v>
      </c>
      <c r="L22" s="71" t="s">
        <v>292</v>
      </c>
      <c r="M22" s="53"/>
      <c r="N22" s="131" t="s">
        <v>37</v>
      </c>
      <c r="O22" s="127"/>
      <c r="P22" s="53">
        <v>2011</v>
      </c>
      <c r="Q22" s="53">
        <v>2015</v>
      </c>
      <c r="R22" s="53">
        <v>2014</v>
      </c>
      <c r="S22" s="71"/>
      <c r="T22" s="53"/>
      <c r="U22" s="53"/>
      <c r="V22" s="53"/>
      <c r="W22" s="53"/>
      <c r="Y22" s="3" t="s">
        <v>76</v>
      </c>
    </row>
    <row r="23" spans="1:25" x14ac:dyDescent="0.25">
      <c r="A23" s="187" t="s">
        <v>78</v>
      </c>
      <c r="B23" s="82">
        <v>2012</v>
      </c>
      <c r="C23" s="82">
        <v>2012</v>
      </c>
      <c r="D23" s="53">
        <v>2008</v>
      </c>
      <c r="E23" s="53">
        <v>2010</v>
      </c>
      <c r="F23" s="127"/>
      <c r="G23" s="53"/>
      <c r="H23" s="53"/>
      <c r="I23" s="131">
        <v>2013</v>
      </c>
      <c r="J23" s="53"/>
      <c r="K23" s="53"/>
      <c r="L23" s="71"/>
      <c r="M23" s="53"/>
      <c r="N23" s="53"/>
      <c r="O23" s="127"/>
      <c r="P23" s="53"/>
      <c r="Q23" s="53"/>
      <c r="R23" s="53"/>
      <c r="S23" s="71"/>
      <c r="T23" s="53"/>
      <c r="U23" s="53"/>
      <c r="V23" s="53"/>
      <c r="W23" s="53"/>
      <c r="Y23" s="3" t="s">
        <v>42</v>
      </c>
    </row>
    <row r="24" spans="1:25" x14ac:dyDescent="0.25">
      <c r="A24" s="187" t="s">
        <v>146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</row>
    <row r="25" spans="1:25" x14ac:dyDescent="0.25">
      <c r="A25" s="187" t="s">
        <v>293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</row>
    <row r="26" spans="1:25" x14ac:dyDescent="0.25">
      <c r="A26" s="187" t="s">
        <v>80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Y26" s="3" t="s">
        <v>42</v>
      </c>
    </row>
    <row r="27" spans="1:25" x14ac:dyDescent="0.25">
      <c r="A27" s="187" t="s">
        <v>294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</row>
    <row r="28" spans="1:25" x14ac:dyDescent="0.25">
      <c r="A28" s="187" t="s">
        <v>167</v>
      </c>
      <c r="B28" s="88">
        <v>0</v>
      </c>
      <c r="C28" s="88">
        <v>0</v>
      </c>
      <c r="D28" s="88">
        <v>0</v>
      </c>
      <c r="E28" s="88">
        <v>0</v>
      </c>
      <c r="F28" s="88">
        <v>14</v>
      </c>
      <c r="G28" s="88">
        <v>14</v>
      </c>
      <c r="H28" s="88">
        <v>0</v>
      </c>
      <c r="I28" s="88">
        <v>14</v>
      </c>
      <c r="J28" s="88">
        <v>14</v>
      </c>
      <c r="K28" s="88">
        <v>14</v>
      </c>
      <c r="L28" s="88">
        <v>14</v>
      </c>
      <c r="M28" s="88">
        <v>14</v>
      </c>
      <c r="N28" s="88">
        <v>14</v>
      </c>
      <c r="O28" s="88">
        <v>14</v>
      </c>
      <c r="P28" s="88">
        <v>0</v>
      </c>
      <c r="Q28" s="88">
        <v>14</v>
      </c>
      <c r="R28" s="88">
        <v>14</v>
      </c>
      <c r="S28" s="88">
        <v>0</v>
      </c>
      <c r="T28" s="88">
        <v>14</v>
      </c>
      <c r="U28" s="88">
        <v>14</v>
      </c>
      <c r="V28" s="88">
        <v>0</v>
      </c>
      <c r="W28" s="88">
        <v>0</v>
      </c>
    </row>
    <row r="29" spans="1:25" x14ac:dyDescent="0.25">
      <c r="A29" s="187" t="s">
        <v>83</v>
      </c>
      <c r="B29" s="88"/>
      <c r="C29" s="88"/>
      <c r="D29" s="88"/>
      <c r="E29" s="88"/>
      <c r="F29" s="88">
        <v>6</v>
      </c>
      <c r="G29" s="88">
        <v>9</v>
      </c>
      <c r="H29" s="88">
        <v>0</v>
      </c>
      <c r="I29" s="88">
        <v>3</v>
      </c>
      <c r="J29" s="88" t="s">
        <v>37</v>
      </c>
      <c r="K29" s="88" t="s">
        <v>37</v>
      </c>
      <c r="L29" s="88" t="s">
        <v>37</v>
      </c>
      <c r="M29" s="88">
        <v>8</v>
      </c>
      <c r="N29" s="88">
        <v>5</v>
      </c>
      <c r="O29" s="88">
        <v>5</v>
      </c>
      <c r="P29" s="88">
        <v>0</v>
      </c>
      <c r="Q29" s="88">
        <v>5</v>
      </c>
      <c r="R29" s="88">
        <v>5</v>
      </c>
      <c r="S29" s="88">
        <v>0</v>
      </c>
      <c r="T29" s="88" t="s">
        <v>37</v>
      </c>
      <c r="U29" s="88" t="s">
        <v>37</v>
      </c>
      <c r="V29" s="88"/>
      <c r="W29" s="88"/>
    </row>
    <row r="30" spans="1:25" x14ac:dyDescent="0.25">
      <c r="A30" s="187" t="s">
        <v>84</v>
      </c>
      <c r="B30" s="318">
        <v>0</v>
      </c>
      <c r="C30" s="318"/>
      <c r="D30" s="318">
        <v>0</v>
      </c>
      <c r="E30" s="318"/>
      <c r="F30" s="318"/>
      <c r="G30" s="318"/>
      <c r="H30" s="318"/>
      <c r="I30" s="318"/>
      <c r="J30" s="318"/>
      <c r="K30" s="318"/>
      <c r="L30" s="318"/>
      <c r="M30" s="318">
        <v>31</v>
      </c>
      <c r="N30" s="318"/>
      <c r="O30" s="318"/>
      <c r="P30" s="318">
        <v>23</v>
      </c>
      <c r="Q30" s="318"/>
      <c r="R30" s="318"/>
      <c r="S30" s="318"/>
      <c r="T30" s="321"/>
      <c r="U30" s="321"/>
      <c r="V30" s="318"/>
      <c r="W30" s="318"/>
    </row>
    <row r="31" spans="1:25" x14ac:dyDescent="0.25">
      <c r="A31" s="187" t="s">
        <v>85</v>
      </c>
      <c r="B31" s="318">
        <v>0</v>
      </c>
      <c r="C31" s="318"/>
      <c r="D31" s="318">
        <f>D28+E28-D29-E29-D30</f>
        <v>0</v>
      </c>
      <c r="E31" s="318"/>
      <c r="F31" s="318">
        <f>F28+G28+H28+I28-F29-G29-H29-I29-F30</f>
        <v>24</v>
      </c>
      <c r="G31" s="318"/>
      <c r="H31" s="318"/>
      <c r="I31" s="318"/>
      <c r="J31" s="318" t="e">
        <f>J28+K28+L28-J29-K29-L29-J30</f>
        <v>#VALUE!</v>
      </c>
      <c r="K31" s="318"/>
      <c r="L31" s="318"/>
      <c r="M31" s="317">
        <f>M28+N28+O28-M29-N29-O29-M30</f>
        <v>-7</v>
      </c>
      <c r="N31" s="317"/>
      <c r="O31" s="317"/>
      <c r="P31" s="317">
        <f>P28+Q28+R28+S28-P29-Q29-R29-S29-P30</f>
        <v>-5</v>
      </c>
      <c r="Q31" s="317"/>
      <c r="R31" s="317"/>
      <c r="S31" s="317"/>
      <c r="T31" s="321" t="e">
        <f>T28+U28-T29-U29-T30</f>
        <v>#VALUE!</v>
      </c>
      <c r="U31" s="321"/>
      <c r="V31" s="318">
        <f>V28+W28-V29-W29-V30</f>
        <v>0</v>
      </c>
      <c r="W31" s="318"/>
    </row>
    <row r="32" spans="1:25" x14ac:dyDescent="0.25">
      <c r="A32" s="187" t="s">
        <v>86</v>
      </c>
      <c r="B32" s="318" t="s">
        <v>90</v>
      </c>
      <c r="C32" s="318"/>
      <c r="D32" s="318" t="s">
        <v>90</v>
      </c>
      <c r="E32" s="318"/>
      <c r="F32" s="318" t="s">
        <v>88</v>
      </c>
      <c r="G32" s="318"/>
      <c r="H32" s="318"/>
      <c r="I32" s="318"/>
      <c r="J32" s="318" t="s">
        <v>88</v>
      </c>
      <c r="K32" s="318"/>
      <c r="L32" s="318"/>
      <c r="M32" s="320" t="s">
        <v>88</v>
      </c>
      <c r="N32" s="320"/>
      <c r="O32" s="320"/>
      <c r="P32" s="317" t="s">
        <v>90</v>
      </c>
      <c r="Q32" s="317"/>
      <c r="R32" s="317"/>
      <c r="S32" s="317"/>
      <c r="T32" s="318" t="s">
        <v>88</v>
      </c>
      <c r="U32" s="318"/>
      <c r="V32" s="318" t="s">
        <v>90</v>
      </c>
      <c r="W32" s="318"/>
    </row>
    <row r="33" spans="1:23" x14ac:dyDescent="0.25">
      <c r="A33" s="187" t="s">
        <v>130</v>
      </c>
      <c r="B33" s="318" t="s">
        <v>114</v>
      </c>
      <c r="C33" s="318"/>
      <c r="D33" s="318" t="s">
        <v>114</v>
      </c>
      <c r="E33" s="318"/>
      <c r="F33" s="318" t="s">
        <v>233</v>
      </c>
      <c r="G33" s="318"/>
      <c r="H33" s="318"/>
      <c r="I33" s="318"/>
      <c r="J33" s="318" t="s">
        <v>234</v>
      </c>
      <c r="K33" s="318"/>
      <c r="L33" s="318"/>
      <c r="M33" s="318" t="s">
        <v>235</v>
      </c>
      <c r="N33" s="318"/>
      <c r="O33" s="318"/>
      <c r="P33" s="319" t="s">
        <v>295</v>
      </c>
      <c r="Q33" s="319"/>
      <c r="R33" s="319"/>
      <c r="S33" s="319"/>
      <c r="T33" s="318" t="s">
        <v>237</v>
      </c>
      <c r="U33" s="318"/>
      <c r="V33" s="318" t="s">
        <v>114</v>
      </c>
      <c r="W33" s="318"/>
    </row>
    <row r="34" spans="1:23" s="118" customFormat="1" ht="384" x14ac:dyDescent="0.25">
      <c r="A34" s="194"/>
      <c r="B34" s="197"/>
      <c r="C34" s="197"/>
      <c r="D34" s="197"/>
      <c r="E34" s="197"/>
      <c r="F34" s="197" t="s">
        <v>296</v>
      </c>
      <c r="G34" s="197" t="s">
        <v>297</v>
      </c>
      <c r="H34" s="197" t="s">
        <v>298</v>
      </c>
      <c r="I34" s="197" t="s">
        <v>299</v>
      </c>
      <c r="J34" s="197"/>
      <c r="K34" s="197" t="s">
        <v>300</v>
      </c>
      <c r="L34" s="197" t="s">
        <v>301</v>
      </c>
      <c r="M34" s="197"/>
      <c r="N34" s="197" t="s">
        <v>302</v>
      </c>
      <c r="O34" s="197" t="s">
        <v>303</v>
      </c>
      <c r="P34" s="197" t="s">
        <v>304</v>
      </c>
      <c r="Q34" s="197" t="s">
        <v>305</v>
      </c>
      <c r="R34" s="197"/>
      <c r="S34" s="197" t="s">
        <v>306</v>
      </c>
      <c r="T34" s="197" t="s">
        <v>307</v>
      </c>
      <c r="U34" s="197"/>
      <c r="V34" s="197"/>
      <c r="W34" s="197"/>
    </row>
    <row r="35" spans="1:23" s="64" customFormat="1" x14ac:dyDescent="0.25">
      <c r="A35" s="53" t="s">
        <v>91</v>
      </c>
    </row>
    <row r="36" spans="1:23" s="121" customFormat="1" x14ac:dyDescent="0.25">
      <c r="A36" s="88" t="s">
        <v>93</v>
      </c>
    </row>
    <row r="37" spans="1:23" s="122" customFormat="1" x14ac:dyDescent="0.25">
      <c r="A37" s="65" t="s">
        <v>94</v>
      </c>
    </row>
    <row r="38" spans="1:23" s="58" customFormat="1" x14ac:dyDescent="0.25">
      <c r="A38" s="71" t="s">
        <v>95</v>
      </c>
    </row>
    <row r="39" spans="1:23" s="126" customFormat="1" x14ac:dyDescent="0.25">
      <c r="A39" s="127" t="s">
        <v>96</v>
      </c>
    </row>
    <row r="40" spans="1:23" s="132" customFormat="1" x14ac:dyDescent="0.25">
      <c r="A40" s="131" t="s">
        <v>97</v>
      </c>
    </row>
  </sheetData>
  <mergeCells count="32">
    <mergeCell ref="P30:S30"/>
    <mergeCell ref="T30:U30"/>
    <mergeCell ref="V30:W30"/>
    <mergeCell ref="B31:C31"/>
    <mergeCell ref="D31:E31"/>
    <mergeCell ref="F31:I31"/>
    <mergeCell ref="J31:L31"/>
    <mergeCell ref="M31:O31"/>
    <mergeCell ref="P31:S31"/>
    <mergeCell ref="T31:U31"/>
    <mergeCell ref="V31:W31"/>
    <mergeCell ref="B30:C30"/>
    <mergeCell ref="D30:E30"/>
    <mergeCell ref="F30:I30"/>
    <mergeCell ref="J30:L30"/>
    <mergeCell ref="M30:O30"/>
    <mergeCell ref="P32:S32"/>
    <mergeCell ref="T32:U32"/>
    <mergeCell ref="V32:W32"/>
    <mergeCell ref="B33:C33"/>
    <mergeCell ref="D33:E33"/>
    <mergeCell ref="F33:I33"/>
    <mergeCell ref="J33:L33"/>
    <mergeCell ref="M33:O33"/>
    <mergeCell ref="P33:S33"/>
    <mergeCell ref="T33:U33"/>
    <mergeCell ref="V33:W33"/>
    <mergeCell ref="B32:C32"/>
    <mergeCell ref="D32:E32"/>
    <mergeCell ref="F32:I32"/>
    <mergeCell ref="J32:L32"/>
    <mergeCell ref="M32:O32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MJ4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5" sqref="G35"/>
    </sheetView>
  </sheetViews>
  <sheetFormatPr defaultColWidth="8.85546875" defaultRowHeight="15" x14ac:dyDescent="0.25"/>
  <cols>
    <col min="1" max="1" width="26.42578125" style="3" customWidth="1"/>
    <col min="2" max="23" width="7.28515625" style="3" customWidth="1"/>
    <col min="24" max="1024" width="8.85546875" style="3"/>
  </cols>
  <sheetData>
    <row r="1" spans="1:25" s="19" customFormat="1" x14ac:dyDescent="0.25">
      <c r="A1" s="209"/>
      <c r="B1" s="209" t="s">
        <v>0</v>
      </c>
      <c r="C1" s="209" t="s">
        <v>1</v>
      </c>
      <c r="D1" s="209" t="s">
        <v>2</v>
      </c>
      <c r="E1" s="209" t="s">
        <v>3</v>
      </c>
      <c r="F1" s="209" t="s">
        <v>4</v>
      </c>
      <c r="G1" s="209" t="s">
        <v>5</v>
      </c>
      <c r="H1" s="209" t="s">
        <v>243</v>
      </c>
      <c r="I1" s="209" t="s">
        <v>6</v>
      </c>
      <c r="J1" s="209" t="s">
        <v>7</v>
      </c>
      <c r="K1" s="209" t="s">
        <v>9</v>
      </c>
      <c r="L1" s="209" t="s">
        <v>244</v>
      </c>
      <c r="M1" s="209" t="s">
        <v>10</v>
      </c>
      <c r="N1" s="209" t="s">
        <v>11</v>
      </c>
      <c r="O1" s="209" t="s">
        <v>13</v>
      </c>
      <c r="P1" s="209" t="s">
        <v>14</v>
      </c>
      <c r="Q1" s="209" t="s">
        <v>15</v>
      </c>
      <c r="R1" s="209" t="s">
        <v>16</v>
      </c>
      <c r="S1" s="209" t="s">
        <v>101</v>
      </c>
      <c r="T1" s="209" t="s">
        <v>19</v>
      </c>
      <c r="U1" s="209" t="s">
        <v>20</v>
      </c>
      <c r="V1" s="209" t="s">
        <v>21</v>
      </c>
      <c r="W1" s="209" t="s">
        <v>102</v>
      </c>
    </row>
    <row r="2" spans="1:25" x14ac:dyDescent="0.25">
      <c r="A2" s="187" t="s">
        <v>24</v>
      </c>
      <c r="B2" s="187" t="s">
        <v>189</v>
      </c>
      <c r="C2" s="187" t="s">
        <v>189</v>
      </c>
      <c r="D2" s="187" t="s">
        <v>189</v>
      </c>
      <c r="E2" s="187" t="s">
        <v>189</v>
      </c>
      <c r="F2" s="187" t="s">
        <v>188</v>
      </c>
      <c r="G2" s="187" t="s">
        <v>188</v>
      </c>
      <c r="H2" s="187" t="s">
        <v>188</v>
      </c>
      <c r="I2" s="187" t="s">
        <v>188</v>
      </c>
      <c r="J2" s="187" t="s">
        <v>245</v>
      </c>
      <c r="K2" s="187" t="s">
        <v>245</v>
      </c>
      <c r="L2" s="187" t="s">
        <v>245</v>
      </c>
      <c r="M2" s="187" t="s">
        <v>246</v>
      </c>
      <c r="N2" s="187" t="s">
        <v>246</v>
      </c>
      <c r="O2" s="187" t="s">
        <v>246</v>
      </c>
      <c r="P2" s="187" t="s">
        <v>193</v>
      </c>
      <c r="Q2" s="187" t="s">
        <v>193</v>
      </c>
      <c r="R2" s="187" t="s">
        <v>193</v>
      </c>
      <c r="S2" s="187" t="s">
        <v>193</v>
      </c>
      <c r="T2" s="187" t="s">
        <v>247</v>
      </c>
      <c r="U2" s="187" t="s">
        <v>247</v>
      </c>
      <c r="V2" s="187" t="s">
        <v>189</v>
      </c>
      <c r="W2" s="187" t="s">
        <v>189</v>
      </c>
    </row>
    <row r="3" spans="1:25" s="38" customFormat="1" x14ac:dyDescent="0.25">
      <c r="A3" s="32" t="s">
        <v>25</v>
      </c>
      <c r="B3" s="32"/>
      <c r="C3" s="32"/>
      <c r="D3" s="32"/>
      <c r="E3" s="32"/>
      <c r="F3" s="32" t="s">
        <v>249</v>
      </c>
      <c r="G3" s="32" t="s">
        <v>249</v>
      </c>
      <c r="H3" s="32" t="s">
        <v>249</v>
      </c>
      <c r="I3" s="32" t="s">
        <v>249</v>
      </c>
      <c r="J3" s="32" t="s">
        <v>249</v>
      </c>
      <c r="K3" s="32" t="s">
        <v>249</v>
      </c>
      <c r="L3" s="32" t="s">
        <v>249</v>
      </c>
      <c r="M3" s="32" t="s">
        <v>249</v>
      </c>
      <c r="N3" s="32" t="s">
        <v>249</v>
      </c>
      <c r="O3" s="32" t="s">
        <v>249</v>
      </c>
      <c r="P3" s="32" t="s">
        <v>251</v>
      </c>
      <c r="Q3" s="32" t="s">
        <v>251</v>
      </c>
      <c r="R3" s="32" t="s">
        <v>251</v>
      </c>
      <c r="S3" s="32" t="s">
        <v>251</v>
      </c>
      <c r="T3" s="32" t="s">
        <v>249</v>
      </c>
      <c r="U3" s="32" t="s">
        <v>249</v>
      </c>
      <c r="V3" s="32"/>
      <c r="W3" s="32"/>
    </row>
    <row r="4" spans="1:25" s="38" customFormat="1" x14ac:dyDescent="0.25">
      <c r="A4" s="32" t="s">
        <v>31</v>
      </c>
      <c r="B4" s="32" t="s">
        <v>133</v>
      </c>
      <c r="C4" s="32" t="s">
        <v>133</v>
      </c>
      <c r="D4" s="32" t="s">
        <v>133</v>
      </c>
      <c r="E4" s="32" t="s">
        <v>133</v>
      </c>
      <c r="F4" s="32" t="s">
        <v>133</v>
      </c>
      <c r="G4" s="32" t="s">
        <v>133</v>
      </c>
      <c r="H4" s="32" t="s">
        <v>133</v>
      </c>
      <c r="I4" s="32" t="s">
        <v>133</v>
      </c>
      <c r="J4" s="32" t="s">
        <v>133</v>
      </c>
      <c r="K4" s="32" t="s">
        <v>133</v>
      </c>
      <c r="L4" s="49" t="s">
        <v>252</v>
      </c>
      <c r="M4" s="32" t="s">
        <v>133</v>
      </c>
      <c r="N4" s="49" t="s">
        <v>253</v>
      </c>
      <c r="O4" s="49" t="s">
        <v>254</v>
      </c>
      <c r="P4" s="32" t="s">
        <v>133</v>
      </c>
      <c r="Q4" s="49" t="s">
        <v>308</v>
      </c>
      <c r="R4" s="32" t="s">
        <v>133</v>
      </c>
      <c r="S4" s="49" t="s">
        <v>255</v>
      </c>
      <c r="T4" s="32" t="s">
        <v>133</v>
      </c>
      <c r="U4" s="32" t="s">
        <v>133</v>
      </c>
      <c r="V4" s="32" t="s">
        <v>133</v>
      </c>
      <c r="W4" s="32" t="s">
        <v>133</v>
      </c>
    </row>
    <row r="5" spans="1:25" x14ac:dyDescent="0.25">
      <c r="A5" s="187" t="s">
        <v>38</v>
      </c>
      <c r="B5" s="82">
        <v>2012</v>
      </c>
      <c r="C5" s="82">
        <v>2012</v>
      </c>
      <c r="D5" s="53"/>
      <c r="E5" s="53"/>
      <c r="F5" s="53"/>
      <c r="G5" s="53"/>
      <c r="H5" s="53"/>
      <c r="I5" s="53"/>
      <c r="J5" s="53"/>
      <c r="K5" s="53"/>
      <c r="L5" s="71"/>
      <c r="M5" s="53"/>
      <c r="N5" s="131"/>
      <c r="O5" s="131"/>
      <c r="P5" s="53"/>
      <c r="Q5" s="53"/>
      <c r="R5" s="53"/>
      <c r="S5" s="71"/>
      <c r="T5" s="53">
        <v>2013</v>
      </c>
      <c r="U5" s="53">
        <v>2009</v>
      </c>
      <c r="V5" s="53"/>
      <c r="W5" s="53"/>
    </row>
    <row r="6" spans="1:25" x14ac:dyDescent="0.25">
      <c r="A6" s="187" t="s">
        <v>39</v>
      </c>
      <c r="B6" s="53">
        <v>3.4</v>
      </c>
      <c r="C6" s="53">
        <v>3.4</v>
      </c>
      <c r="D6" s="53">
        <v>3.4</v>
      </c>
      <c r="E6" s="53">
        <v>3.4</v>
      </c>
      <c r="F6" s="53">
        <v>3.4</v>
      </c>
      <c r="G6" s="53">
        <v>3.4</v>
      </c>
      <c r="H6" s="53">
        <v>3.4</v>
      </c>
      <c r="I6" s="53">
        <v>3.4</v>
      </c>
      <c r="J6" s="53">
        <v>3.4</v>
      </c>
      <c r="K6" s="53">
        <v>3.5</v>
      </c>
      <c r="L6" s="71">
        <v>3.4</v>
      </c>
      <c r="M6" s="53">
        <v>3.4</v>
      </c>
      <c r="N6" s="53">
        <v>3.3</v>
      </c>
      <c r="O6" s="131"/>
      <c r="P6" s="53">
        <v>3.4</v>
      </c>
      <c r="Q6" s="53">
        <v>3.4</v>
      </c>
      <c r="R6" s="53">
        <v>3.4</v>
      </c>
      <c r="S6" s="71">
        <v>3.4</v>
      </c>
      <c r="T6" s="53">
        <v>3.4</v>
      </c>
      <c r="U6" s="53">
        <v>3.3</v>
      </c>
      <c r="V6" s="53">
        <v>3.4</v>
      </c>
      <c r="W6" s="53">
        <v>3.4</v>
      </c>
      <c r="Y6" s="3" t="s">
        <v>40</v>
      </c>
    </row>
    <row r="7" spans="1:25" x14ac:dyDescent="0.25">
      <c r="A7" s="187" t="s">
        <v>41</v>
      </c>
      <c r="B7" s="53">
        <v>2012</v>
      </c>
      <c r="C7" s="53">
        <v>2012</v>
      </c>
      <c r="D7" s="53"/>
      <c r="E7" s="53"/>
      <c r="F7" s="53"/>
      <c r="G7" s="65"/>
      <c r="H7" s="53"/>
      <c r="I7" s="53"/>
      <c r="J7" s="53"/>
      <c r="K7" s="53"/>
      <c r="L7" s="71"/>
      <c r="M7" s="53"/>
      <c r="N7" s="53"/>
      <c r="O7" s="131"/>
      <c r="P7" s="53"/>
      <c r="Q7" s="53"/>
      <c r="R7" s="53"/>
      <c r="S7" s="71"/>
      <c r="T7" s="53">
        <v>2013</v>
      </c>
      <c r="U7" s="53">
        <v>2009</v>
      </c>
      <c r="V7" s="53"/>
      <c r="W7" s="53"/>
      <c r="Y7" s="3" t="s">
        <v>42</v>
      </c>
    </row>
    <row r="8" spans="1:25" x14ac:dyDescent="0.25">
      <c r="A8" s="187" t="s">
        <v>43</v>
      </c>
      <c r="B8" s="53">
        <v>2012</v>
      </c>
      <c r="C8" s="53">
        <v>2012</v>
      </c>
      <c r="D8" s="53"/>
      <c r="E8" s="53"/>
      <c r="F8" s="53"/>
      <c r="G8" s="53"/>
      <c r="H8" s="53"/>
      <c r="I8" s="53"/>
      <c r="J8" s="53"/>
      <c r="K8" s="53"/>
      <c r="L8" s="71"/>
      <c r="M8" s="53"/>
      <c r="N8" s="53"/>
      <c r="O8" s="127"/>
      <c r="P8" s="53"/>
      <c r="Q8" s="53"/>
      <c r="R8" s="53"/>
      <c r="S8" s="71"/>
      <c r="T8" s="65">
        <v>2012</v>
      </c>
      <c r="U8" s="53">
        <v>2012</v>
      </c>
      <c r="V8" s="53"/>
      <c r="W8" s="53"/>
      <c r="Y8" s="3" t="s">
        <v>42</v>
      </c>
    </row>
    <row r="9" spans="1:25" x14ac:dyDescent="0.25">
      <c r="A9" s="187" t="s">
        <v>44</v>
      </c>
      <c r="B9" s="82">
        <v>2012</v>
      </c>
      <c r="C9" s="82">
        <v>2012</v>
      </c>
      <c r="D9" s="82"/>
      <c r="E9" s="82"/>
      <c r="F9" s="53"/>
      <c r="G9" s="65"/>
      <c r="H9" s="71"/>
      <c r="I9" s="71"/>
      <c r="J9" s="71"/>
      <c r="K9" s="71"/>
      <c r="L9" s="65"/>
      <c r="M9" s="65"/>
      <c r="N9" s="71"/>
      <c r="O9" s="71"/>
      <c r="P9" s="71"/>
      <c r="Q9" s="71"/>
      <c r="R9" s="65"/>
      <c r="S9" s="71"/>
      <c r="T9" s="65">
        <v>2013</v>
      </c>
      <c r="U9" s="71">
        <v>2009</v>
      </c>
      <c r="V9" s="53"/>
      <c r="W9" s="53"/>
      <c r="Y9" s="3" t="s">
        <v>45</v>
      </c>
    </row>
    <row r="10" spans="1:25" x14ac:dyDescent="0.25">
      <c r="A10" s="187" t="s">
        <v>46</v>
      </c>
      <c r="B10" s="82">
        <v>2012</v>
      </c>
      <c r="C10" s="82">
        <v>2012</v>
      </c>
      <c r="D10" s="53"/>
      <c r="E10" s="53"/>
      <c r="F10" s="53"/>
      <c r="G10" s="65"/>
      <c r="H10" s="53"/>
      <c r="I10" s="131"/>
      <c r="J10" s="53"/>
      <c r="K10" s="131" t="s">
        <v>309</v>
      </c>
      <c r="L10" s="71" t="s">
        <v>309</v>
      </c>
      <c r="M10" s="53"/>
      <c r="N10" s="53"/>
      <c r="O10" s="127"/>
      <c r="P10" s="53"/>
      <c r="Q10" s="53"/>
      <c r="R10" s="53"/>
      <c r="S10" s="71"/>
      <c r="T10" s="53"/>
      <c r="U10" s="53"/>
      <c r="V10" s="53"/>
      <c r="W10" s="53"/>
      <c r="Y10" s="3" t="s">
        <v>42</v>
      </c>
    </row>
    <row r="11" spans="1:25" x14ac:dyDescent="0.25">
      <c r="A11" s="187" t="s">
        <v>50</v>
      </c>
      <c r="B11" s="82">
        <v>2012</v>
      </c>
      <c r="C11" s="82">
        <v>2012</v>
      </c>
      <c r="D11" s="82"/>
      <c r="E11" s="82"/>
      <c r="F11" s="53"/>
      <c r="G11" s="65"/>
      <c r="H11" s="53"/>
      <c r="I11" s="53"/>
      <c r="J11" s="53"/>
      <c r="K11" s="131"/>
      <c r="L11" s="71"/>
      <c r="M11" s="53"/>
      <c r="N11" s="53"/>
      <c r="O11" s="127"/>
      <c r="P11" s="53"/>
      <c r="Q11" s="53"/>
      <c r="R11" s="53"/>
      <c r="S11" s="71"/>
      <c r="T11" s="131">
        <v>2013</v>
      </c>
      <c r="U11" s="53">
        <v>2012</v>
      </c>
      <c r="V11" s="53"/>
      <c r="W11" s="53"/>
      <c r="Y11" s="3" t="s">
        <v>51</v>
      </c>
    </row>
    <row r="12" spans="1:25" x14ac:dyDescent="0.25">
      <c r="A12" s="187" t="s">
        <v>52</v>
      </c>
      <c r="B12" s="82">
        <v>2012</v>
      </c>
      <c r="C12" s="82">
        <v>2012</v>
      </c>
      <c r="D12" s="82"/>
      <c r="E12" s="82"/>
      <c r="F12" s="53"/>
      <c r="G12" s="65"/>
      <c r="H12" s="53"/>
      <c r="I12" s="53"/>
      <c r="J12" s="53"/>
      <c r="K12" s="131"/>
      <c r="L12" s="71"/>
      <c r="M12" s="53"/>
      <c r="N12" s="53"/>
      <c r="O12" s="127"/>
      <c r="P12" s="53"/>
      <c r="Q12" s="53"/>
      <c r="R12" s="131"/>
      <c r="S12" s="71"/>
      <c r="T12" s="131">
        <v>2013</v>
      </c>
      <c r="U12" s="53">
        <v>2013</v>
      </c>
      <c r="V12" s="53"/>
      <c r="W12" s="53"/>
      <c r="Y12" s="3" t="s">
        <v>51</v>
      </c>
    </row>
    <row r="13" spans="1:25" x14ac:dyDescent="0.25">
      <c r="A13" s="187" t="s">
        <v>54</v>
      </c>
      <c r="B13" s="53">
        <v>2012</v>
      </c>
      <c r="C13" s="53">
        <v>2012</v>
      </c>
      <c r="D13" s="53"/>
      <c r="E13" s="53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>
        <v>2013</v>
      </c>
      <c r="U13" s="71">
        <v>2011</v>
      </c>
      <c r="V13" s="53"/>
      <c r="W13" s="53"/>
      <c r="Y13" s="3" t="s">
        <v>55</v>
      </c>
    </row>
    <row r="14" spans="1:25" x14ac:dyDescent="0.25">
      <c r="A14" s="187" t="s">
        <v>56</v>
      </c>
      <c r="B14" s="65">
        <v>2012</v>
      </c>
      <c r="C14" s="53">
        <v>2012</v>
      </c>
      <c r="D14" s="53"/>
      <c r="E14" s="53"/>
      <c r="F14" s="71"/>
      <c r="G14" s="65"/>
      <c r="H14" s="65"/>
      <c r="I14" s="71"/>
      <c r="J14" s="71"/>
      <c r="K14" s="71"/>
      <c r="L14" s="71"/>
      <c r="M14" s="71"/>
      <c r="N14" s="131"/>
      <c r="O14" s="71"/>
      <c r="P14" s="71"/>
      <c r="Q14" s="71"/>
      <c r="R14" s="131"/>
      <c r="S14" s="71"/>
      <c r="T14" s="71">
        <v>2013</v>
      </c>
      <c r="U14" s="71">
        <v>2011</v>
      </c>
      <c r="V14" s="53"/>
      <c r="W14" s="53"/>
      <c r="Y14" s="3" t="s">
        <v>55</v>
      </c>
    </row>
    <row r="15" spans="1:25" x14ac:dyDescent="0.25">
      <c r="A15" s="187" t="s">
        <v>57</v>
      </c>
      <c r="B15" s="82">
        <v>2012</v>
      </c>
      <c r="C15" s="82">
        <v>2012</v>
      </c>
      <c r="D15" s="53">
        <v>15.4</v>
      </c>
      <c r="E15" s="127">
        <v>7</v>
      </c>
      <c r="F15" s="53">
        <v>12.2</v>
      </c>
      <c r="G15" s="210">
        <v>5</v>
      </c>
      <c r="H15" s="71">
        <v>5.3</v>
      </c>
      <c r="I15" s="53">
        <v>13.3</v>
      </c>
      <c r="J15" s="53">
        <v>11.9</v>
      </c>
      <c r="K15" s="53">
        <v>12</v>
      </c>
      <c r="L15" s="71">
        <v>8</v>
      </c>
      <c r="M15" s="53">
        <v>11.5</v>
      </c>
      <c r="N15" s="53">
        <v>10.5</v>
      </c>
      <c r="O15" s="127"/>
      <c r="P15" s="53" t="s">
        <v>114</v>
      </c>
      <c r="Q15" s="71">
        <v>6.2</v>
      </c>
      <c r="R15" s="71">
        <v>3.1</v>
      </c>
      <c r="S15" s="71" t="s">
        <v>114</v>
      </c>
      <c r="T15" s="127">
        <v>20.399999999999999</v>
      </c>
      <c r="U15" s="53">
        <v>8.6999999999999993</v>
      </c>
      <c r="V15" s="53">
        <v>11.4</v>
      </c>
      <c r="W15" s="53">
        <v>11.1</v>
      </c>
      <c r="Y15" s="3" t="s">
        <v>281</v>
      </c>
    </row>
    <row r="16" spans="1:25" x14ac:dyDescent="0.25">
      <c r="A16" s="187" t="s">
        <v>69</v>
      </c>
      <c r="B16" s="82">
        <v>2012</v>
      </c>
      <c r="C16" s="82">
        <v>2012</v>
      </c>
      <c r="D16" s="82"/>
      <c r="E16" s="82"/>
      <c r="F16" s="71"/>
      <c r="G16" s="65"/>
      <c r="H16" s="71"/>
      <c r="I16" s="71"/>
      <c r="J16" s="71"/>
      <c r="K16" s="65"/>
      <c r="L16" s="71"/>
      <c r="M16" s="71"/>
      <c r="N16" s="71"/>
      <c r="O16" s="127"/>
      <c r="P16" s="53"/>
      <c r="Q16" s="71"/>
      <c r="R16" s="71"/>
      <c r="S16" s="71"/>
      <c r="T16" s="71">
        <v>2013</v>
      </c>
      <c r="U16" s="71">
        <v>2009</v>
      </c>
      <c r="V16" s="53"/>
      <c r="W16" s="53"/>
      <c r="Y16" s="3" t="s">
        <v>70</v>
      </c>
    </row>
    <row r="17" spans="1:25" x14ac:dyDescent="0.25">
      <c r="A17" s="187" t="s">
        <v>145</v>
      </c>
      <c r="B17" s="82">
        <v>2012</v>
      </c>
      <c r="C17" s="82">
        <v>2012</v>
      </c>
      <c r="D17" s="82"/>
      <c r="E17" s="82"/>
      <c r="F17" s="131" t="s">
        <v>310</v>
      </c>
      <c r="G17" s="65"/>
      <c r="H17" s="65"/>
      <c r="I17" s="131"/>
      <c r="J17" s="53"/>
      <c r="K17" s="65"/>
      <c r="L17" s="71"/>
      <c r="M17" s="131"/>
      <c r="N17" s="53"/>
      <c r="O17" s="127"/>
      <c r="P17" s="53"/>
      <c r="Q17" s="131"/>
      <c r="R17" s="131"/>
      <c r="S17" s="71"/>
      <c r="T17" s="131">
        <v>2013</v>
      </c>
      <c r="U17" s="53">
        <v>2009</v>
      </c>
      <c r="V17" s="53"/>
      <c r="W17" s="127"/>
      <c r="Y17" s="3" t="s">
        <v>42</v>
      </c>
    </row>
    <row r="18" spans="1:25" x14ac:dyDescent="0.25">
      <c r="A18" s="187" t="s">
        <v>71</v>
      </c>
      <c r="B18" s="82">
        <v>2008</v>
      </c>
      <c r="C18" s="82">
        <v>2008</v>
      </c>
      <c r="D18" s="82"/>
      <c r="E18" s="82"/>
      <c r="F18" s="53"/>
      <c r="G18" s="53"/>
      <c r="H18" s="53"/>
      <c r="I18" s="65"/>
      <c r="J18" s="53"/>
      <c r="K18" s="53"/>
      <c r="L18" s="71"/>
      <c r="M18" s="53"/>
      <c r="N18" s="53"/>
      <c r="O18" s="131"/>
      <c r="P18" s="53"/>
      <c r="Q18" s="53"/>
      <c r="R18" s="53"/>
      <c r="S18" s="71"/>
      <c r="T18" s="53">
        <v>2013</v>
      </c>
      <c r="U18" s="53">
        <v>2009</v>
      </c>
      <c r="V18" s="53"/>
      <c r="W18" s="53"/>
      <c r="Y18" s="3" t="s">
        <v>42</v>
      </c>
    </row>
    <row r="19" spans="1:25" x14ac:dyDescent="0.25">
      <c r="A19" s="187" t="s">
        <v>72</v>
      </c>
      <c r="B19" s="82">
        <v>2008</v>
      </c>
      <c r="C19" s="82">
        <v>2008</v>
      </c>
      <c r="D19" s="82"/>
      <c r="E19" s="82"/>
      <c r="F19" s="53"/>
      <c r="G19" s="53"/>
      <c r="H19" s="53"/>
      <c r="I19" s="53"/>
      <c r="J19" s="53"/>
      <c r="K19" s="53"/>
      <c r="L19" s="71"/>
      <c r="M19" s="53"/>
      <c r="N19" s="131"/>
      <c r="O19" s="131"/>
      <c r="P19" s="53"/>
      <c r="Q19" s="131"/>
      <c r="R19" s="53"/>
      <c r="S19" s="71"/>
      <c r="T19" s="53">
        <v>2013</v>
      </c>
      <c r="U19" s="53">
        <v>2009</v>
      </c>
      <c r="V19" s="53"/>
      <c r="W19" s="53"/>
      <c r="Y19" s="3" t="s">
        <v>42</v>
      </c>
    </row>
    <row r="20" spans="1:25" x14ac:dyDescent="0.25">
      <c r="A20" s="187" t="s">
        <v>73</v>
      </c>
      <c r="B20" s="82"/>
      <c r="C20" s="82"/>
      <c r="D20" s="82"/>
      <c r="E20" s="82"/>
      <c r="F20" s="53"/>
      <c r="G20" s="131"/>
      <c r="H20" s="53"/>
      <c r="I20" s="53"/>
      <c r="J20" s="53"/>
      <c r="K20" s="53"/>
      <c r="L20" s="71"/>
      <c r="M20" s="53"/>
      <c r="N20" s="131"/>
      <c r="O20" s="131"/>
      <c r="P20" s="53"/>
      <c r="Q20" s="131"/>
      <c r="R20" s="53"/>
      <c r="S20" s="71"/>
      <c r="T20" s="53"/>
      <c r="U20" s="53"/>
      <c r="V20" s="53"/>
      <c r="W20" s="53"/>
      <c r="Y20" s="3" t="s">
        <v>42</v>
      </c>
    </row>
    <row r="21" spans="1:25" x14ac:dyDescent="0.25">
      <c r="A21" s="187" t="s">
        <v>74</v>
      </c>
      <c r="B21" s="82">
        <v>2012</v>
      </c>
      <c r="C21" s="82">
        <v>2012</v>
      </c>
      <c r="D21" s="82"/>
      <c r="E21" s="82"/>
      <c r="F21" s="53"/>
      <c r="G21" s="53"/>
      <c r="H21" s="53"/>
      <c r="I21" s="53"/>
      <c r="J21" s="53"/>
      <c r="K21" s="53"/>
      <c r="L21" s="71"/>
      <c r="M21" s="53"/>
      <c r="N21" s="131"/>
      <c r="O21" s="131"/>
      <c r="P21" s="53"/>
      <c r="Q21" s="131"/>
      <c r="R21" s="53"/>
      <c r="S21" s="71"/>
      <c r="T21" s="53">
        <v>2013</v>
      </c>
      <c r="U21" s="53">
        <v>2009</v>
      </c>
      <c r="V21" s="53"/>
      <c r="W21" s="53"/>
      <c r="Y21" s="3" t="s">
        <v>42</v>
      </c>
    </row>
    <row r="22" spans="1:25" x14ac:dyDescent="0.25">
      <c r="A22" s="187" t="s">
        <v>75</v>
      </c>
      <c r="B22" s="82">
        <v>2012</v>
      </c>
      <c r="C22" s="82">
        <v>2012</v>
      </c>
      <c r="D22" s="53"/>
      <c r="E22" s="53"/>
      <c r="F22" s="53"/>
      <c r="G22" s="53"/>
      <c r="H22" s="53"/>
      <c r="I22" s="53" t="s">
        <v>311</v>
      </c>
      <c r="J22" s="53"/>
      <c r="K22" s="53"/>
      <c r="L22" s="71" t="s">
        <v>292</v>
      </c>
      <c r="M22" s="53"/>
      <c r="N22" s="131"/>
      <c r="O22" s="127"/>
      <c r="P22" s="53"/>
      <c r="Q22" s="53"/>
      <c r="R22" s="53"/>
      <c r="S22" s="71"/>
      <c r="T22" s="53"/>
      <c r="U22" s="53"/>
      <c r="V22" s="53"/>
      <c r="W22" s="53"/>
      <c r="Y22" s="3" t="s">
        <v>76</v>
      </c>
    </row>
    <row r="23" spans="1:25" x14ac:dyDescent="0.25">
      <c r="A23" s="187" t="s">
        <v>78</v>
      </c>
      <c r="B23" s="82">
        <v>2012</v>
      </c>
      <c r="C23" s="82">
        <v>2012</v>
      </c>
      <c r="D23" s="53"/>
      <c r="E23" s="53"/>
      <c r="F23" s="127"/>
      <c r="G23" s="53"/>
      <c r="H23" s="53"/>
      <c r="I23" s="131"/>
      <c r="J23" s="53"/>
      <c r="K23" s="53"/>
      <c r="L23" s="71"/>
      <c r="M23" s="53"/>
      <c r="N23" s="53"/>
      <c r="O23" s="127"/>
      <c r="P23" s="53"/>
      <c r="Q23" s="53"/>
      <c r="R23" s="53"/>
      <c r="S23" s="71"/>
      <c r="T23" s="53"/>
      <c r="U23" s="53"/>
      <c r="V23" s="53"/>
      <c r="W23" s="53"/>
      <c r="Y23" s="3" t="s">
        <v>42</v>
      </c>
    </row>
    <row r="24" spans="1:25" x14ac:dyDescent="0.25">
      <c r="A24" s="187" t="s">
        <v>146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</row>
    <row r="25" spans="1:25" x14ac:dyDescent="0.25">
      <c r="A25" s="187" t="s">
        <v>293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</row>
    <row r="26" spans="1:25" x14ac:dyDescent="0.25">
      <c r="A26" s="187" t="s">
        <v>80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Y26" s="3" t="s">
        <v>42</v>
      </c>
    </row>
    <row r="27" spans="1:25" x14ac:dyDescent="0.25">
      <c r="A27" s="187" t="s">
        <v>294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</row>
    <row r="28" spans="1:25" x14ac:dyDescent="0.25">
      <c r="A28" s="187" t="s">
        <v>167</v>
      </c>
      <c r="B28" s="88">
        <v>0</v>
      </c>
      <c r="C28" s="88">
        <v>0</v>
      </c>
      <c r="D28" s="88">
        <v>0</v>
      </c>
      <c r="E28" s="88">
        <v>0</v>
      </c>
      <c r="F28" s="88">
        <v>14</v>
      </c>
      <c r="G28" s="88">
        <v>14</v>
      </c>
      <c r="H28" s="88">
        <v>14</v>
      </c>
      <c r="I28" s="88">
        <v>14</v>
      </c>
      <c r="J28" s="88">
        <v>14</v>
      </c>
      <c r="K28" s="88">
        <v>14</v>
      </c>
      <c r="L28" s="88">
        <v>14</v>
      </c>
      <c r="M28" s="88">
        <v>14</v>
      </c>
      <c r="N28" s="88">
        <v>14</v>
      </c>
      <c r="O28" s="88">
        <v>14</v>
      </c>
      <c r="P28" s="88">
        <v>0</v>
      </c>
      <c r="Q28" s="88">
        <v>14</v>
      </c>
      <c r="R28" s="88">
        <v>14</v>
      </c>
      <c r="S28" s="88">
        <v>11</v>
      </c>
      <c r="T28" s="88">
        <v>14</v>
      </c>
      <c r="U28" s="88">
        <v>14</v>
      </c>
      <c r="V28" s="88">
        <v>0</v>
      </c>
      <c r="W28" s="88">
        <v>0</v>
      </c>
    </row>
    <row r="29" spans="1:25" x14ac:dyDescent="0.25">
      <c r="A29" s="187" t="s">
        <v>83</v>
      </c>
      <c r="B29" s="88"/>
      <c r="C29" s="88"/>
      <c r="D29" s="88"/>
      <c r="E29" s="88"/>
      <c r="F29" s="88" t="s">
        <v>37</v>
      </c>
      <c r="G29" s="88" t="s">
        <v>37</v>
      </c>
      <c r="H29" s="88" t="s">
        <v>37</v>
      </c>
      <c r="I29" s="88" t="s">
        <v>37</v>
      </c>
      <c r="J29" s="88" t="s">
        <v>37</v>
      </c>
      <c r="K29" s="88" t="s">
        <v>37</v>
      </c>
      <c r="L29" s="88" t="s">
        <v>37</v>
      </c>
      <c r="M29" s="88" t="s">
        <v>37</v>
      </c>
      <c r="N29" s="88" t="s">
        <v>37</v>
      </c>
      <c r="O29" s="88" t="s">
        <v>37</v>
      </c>
      <c r="P29" s="88" t="s">
        <v>37</v>
      </c>
      <c r="Q29" s="88" t="s">
        <v>37</v>
      </c>
      <c r="R29" s="88" t="s">
        <v>37</v>
      </c>
      <c r="S29" s="88" t="s">
        <v>37</v>
      </c>
      <c r="T29" s="88" t="s">
        <v>37</v>
      </c>
      <c r="U29" s="88" t="s">
        <v>37</v>
      </c>
      <c r="V29" s="88"/>
      <c r="W29" s="88"/>
    </row>
    <row r="30" spans="1:25" x14ac:dyDescent="0.25">
      <c r="A30" s="187" t="s">
        <v>84</v>
      </c>
      <c r="B30" s="318">
        <v>0</v>
      </c>
      <c r="C30" s="318"/>
      <c r="D30" s="318">
        <v>0</v>
      </c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21"/>
      <c r="U30" s="321"/>
      <c r="V30" s="318"/>
      <c r="W30" s="318"/>
    </row>
    <row r="31" spans="1:25" x14ac:dyDescent="0.25">
      <c r="A31" s="187" t="s">
        <v>85</v>
      </c>
      <c r="B31" s="318">
        <v>0</v>
      </c>
      <c r="C31" s="318"/>
      <c r="D31" s="318">
        <f>D28+E28-D29-E29-D30</f>
        <v>0</v>
      </c>
      <c r="E31" s="318"/>
      <c r="F31" s="318" t="e">
        <f>F28+G28+H28+I28-F29-G29-H29-I29-F30</f>
        <v>#VALUE!</v>
      </c>
      <c r="G31" s="318"/>
      <c r="H31" s="318"/>
      <c r="I31" s="318"/>
      <c r="J31" s="318" t="e">
        <f>J28+K28+L28-J29-K29-L29-J30</f>
        <v>#VALUE!</v>
      </c>
      <c r="K31" s="318"/>
      <c r="L31" s="318"/>
      <c r="M31" s="318" t="e">
        <f>M28+N28+O28-M29-N29-O29-M30</f>
        <v>#VALUE!</v>
      </c>
      <c r="N31" s="318"/>
      <c r="O31" s="318"/>
      <c r="P31" s="318" t="e">
        <f>P28+Q28+R28+S28-P29-Q29-R29-S29-P30</f>
        <v>#VALUE!</v>
      </c>
      <c r="Q31" s="318"/>
      <c r="R31" s="318"/>
      <c r="S31" s="318"/>
      <c r="T31" s="321" t="e">
        <f>T28+U28-T29-U29-T30</f>
        <v>#VALUE!</v>
      </c>
      <c r="U31" s="321"/>
      <c r="V31" s="318">
        <f>V28+W28-V29-W29-V30</f>
        <v>0</v>
      </c>
      <c r="W31" s="318"/>
    </row>
    <row r="32" spans="1:25" x14ac:dyDescent="0.25">
      <c r="A32" s="187" t="s">
        <v>86</v>
      </c>
      <c r="B32" s="318" t="s">
        <v>90</v>
      </c>
      <c r="C32" s="318"/>
      <c r="D32" s="318" t="s">
        <v>90</v>
      </c>
      <c r="E32" s="318"/>
      <c r="F32" s="318" t="s">
        <v>88</v>
      </c>
      <c r="G32" s="318"/>
      <c r="H32" s="318"/>
      <c r="I32" s="318"/>
      <c r="J32" s="318" t="s">
        <v>88</v>
      </c>
      <c r="K32" s="318"/>
      <c r="L32" s="318"/>
      <c r="M32" s="318" t="s">
        <v>88</v>
      </c>
      <c r="N32" s="318"/>
      <c r="O32" s="318"/>
      <c r="P32" s="318" t="s">
        <v>88</v>
      </c>
      <c r="Q32" s="318"/>
      <c r="R32" s="318"/>
      <c r="S32" s="318"/>
      <c r="T32" s="318" t="s">
        <v>88</v>
      </c>
      <c r="U32" s="318"/>
      <c r="V32" s="318" t="s">
        <v>90</v>
      </c>
      <c r="W32" s="318"/>
    </row>
    <row r="33" spans="1:23" x14ac:dyDescent="0.25">
      <c r="A33" s="187" t="s">
        <v>130</v>
      </c>
      <c r="B33" s="318" t="s">
        <v>114</v>
      </c>
      <c r="C33" s="318"/>
      <c r="D33" s="318" t="s">
        <v>114</v>
      </c>
      <c r="E33" s="318"/>
      <c r="F33" s="318" t="s">
        <v>233</v>
      </c>
      <c r="G33" s="318"/>
      <c r="H33" s="318"/>
      <c r="I33" s="318"/>
      <c r="J33" s="318" t="s">
        <v>234</v>
      </c>
      <c r="K33" s="318"/>
      <c r="L33" s="318"/>
      <c r="M33" s="318" t="s">
        <v>235</v>
      </c>
      <c r="N33" s="318"/>
      <c r="O33" s="318"/>
      <c r="P33" s="319" t="s">
        <v>295</v>
      </c>
      <c r="Q33" s="319"/>
      <c r="R33" s="319"/>
      <c r="S33" s="319"/>
      <c r="T33" s="318" t="s">
        <v>237</v>
      </c>
      <c r="U33" s="318"/>
      <c r="V33" s="318" t="s">
        <v>114</v>
      </c>
      <c r="W33" s="318"/>
    </row>
    <row r="34" spans="1:23" s="118" customFormat="1" ht="231" x14ac:dyDescent="0.25">
      <c r="A34" s="194"/>
      <c r="B34" s="197"/>
      <c r="C34" s="197"/>
      <c r="D34" s="197"/>
      <c r="E34" s="197"/>
      <c r="F34" s="197" t="s">
        <v>312</v>
      </c>
      <c r="G34" s="197" t="s">
        <v>313</v>
      </c>
      <c r="H34" s="197"/>
      <c r="I34" s="197"/>
      <c r="J34" s="197"/>
      <c r="K34" s="197" t="s">
        <v>300</v>
      </c>
      <c r="L34" s="197" t="s">
        <v>301</v>
      </c>
      <c r="M34" s="197"/>
      <c r="N34" s="197" t="s">
        <v>302</v>
      </c>
      <c r="O34" s="197" t="s">
        <v>303</v>
      </c>
      <c r="P34" s="197" t="s">
        <v>304</v>
      </c>
      <c r="Q34" s="197"/>
      <c r="R34" s="197"/>
      <c r="S34" s="197" t="s">
        <v>306</v>
      </c>
      <c r="T34" s="197" t="s">
        <v>307</v>
      </c>
      <c r="U34" s="197"/>
      <c r="V34" s="197"/>
      <c r="W34" s="197"/>
    </row>
    <row r="35" spans="1:23" s="64" customFormat="1" x14ac:dyDescent="0.25">
      <c r="A35" s="53" t="s">
        <v>91</v>
      </c>
    </row>
    <row r="36" spans="1:23" s="121" customFormat="1" x14ac:dyDescent="0.25">
      <c r="A36" s="88" t="s">
        <v>93</v>
      </c>
    </row>
    <row r="37" spans="1:23" s="122" customFormat="1" x14ac:dyDescent="0.25">
      <c r="A37" s="65" t="s">
        <v>94</v>
      </c>
    </row>
    <row r="38" spans="1:23" s="58" customFormat="1" x14ac:dyDescent="0.25">
      <c r="A38" s="71" t="s">
        <v>95</v>
      </c>
    </row>
    <row r="39" spans="1:23" s="126" customFormat="1" x14ac:dyDescent="0.25">
      <c r="A39" s="127" t="s">
        <v>96</v>
      </c>
    </row>
    <row r="40" spans="1:23" s="132" customFormat="1" x14ac:dyDescent="0.25">
      <c r="A40" s="131" t="s">
        <v>97</v>
      </c>
    </row>
  </sheetData>
  <mergeCells count="32">
    <mergeCell ref="P30:S30"/>
    <mergeCell ref="T30:U30"/>
    <mergeCell ref="V30:W30"/>
    <mergeCell ref="B31:C31"/>
    <mergeCell ref="D31:E31"/>
    <mergeCell ref="F31:I31"/>
    <mergeCell ref="J31:L31"/>
    <mergeCell ref="M31:O31"/>
    <mergeCell ref="P31:S31"/>
    <mergeCell ref="T31:U31"/>
    <mergeCell ref="V31:W31"/>
    <mergeCell ref="B30:C30"/>
    <mergeCell ref="D30:E30"/>
    <mergeCell ref="F30:I30"/>
    <mergeCell ref="J30:L30"/>
    <mergeCell ref="M30:O30"/>
    <mergeCell ref="P32:S32"/>
    <mergeCell ref="T32:U32"/>
    <mergeCell ref="V32:W32"/>
    <mergeCell ref="B33:C33"/>
    <mergeCell ref="D33:E33"/>
    <mergeCell ref="F33:I33"/>
    <mergeCell ref="J33:L33"/>
    <mergeCell ref="M33:O33"/>
    <mergeCell ref="P33:S33"/>
    <mergeCell ref="T33:U33"/>
    <mergeCell ref="V33:W33"/>
    <mergeCell ref="B32:C32"/>
    <mergeCell ref="D32:E32"/>
    <mergeCell ref="F32:I32"/>
    <mergeCell ref="J32:L32"/>
    <mergeCell ref="M32:O32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J4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2" sqref="J22"/>
    </sheetView>
  </sheetViews>
  <sheetFormatPr defaultColWidth="8.85546875" defaultRowHeight="15" x14ac:dyDescent="0.25"/>
  <cols>
    <col min="1" max="1" width="26.42578125" style="3" customWidth="1"/>
    <col min="2" max="23" width="7.28515625" style="3" customWidth="1"/>
    <col min="24" max="1024" width="8.85546875" style="3"/>
  </cols>
  <sheetData>
    <row r="1" spans="1:25" s="19" customFormat="1" x14ac:dyDescent="0.25">
      <c r="A1" s="209"/>
      <c r="B1" s="209" t="s">
        <v>0</v>
      </c>
      <c r="C1" s="209" t="s">
        <v>1</v>
      </c>
      <c r="D1" s="209" t="s">
        <v>2</v>
      </c>
      <c r="E1" s="209" t="s">
        <v>3</v>
      </c>
      <c r="F1" s="209" t="s">
        <v>4</v>
      </c>
      <c r="G1" s="209" t="s">
        <v>5</v>
      </c>
      <c r="H1" s="209" t="s">
        <v>243</v>
      </c>
      <c r="I1" s="209" t="s">
        <v>6</v>
      </c>
      <c r="J1" s="209" t="s">
        <v>7</v>
      </c>
      <c r="K1" s="209" t="s">
        <v>9</v>
      </c>
      <c r="L1" s="209" t="s">
        <v>314</v>
      </c>
      <c r="M1" s="209" t="s">
        <v>10</v>
      </c>
      <c r="N1" s="209" t="s">
        <v>11</v>
      </c>
      <c r="O1" s="209" t="s">
        <v>315</v>
      </c>
      <c r="P1" s="209" t="s">
        <v>14</v>
      </c>
      <c r="Q1" s="209" t="s">
        <v>15</v>
      </c>
      <c r="R1" s="209" t="s">
        <v>16</v>
      </c>
      <c r="S1" s="209" t="s">
        <v>101</v>
      </c>
      <c r="T1" s="209" t="s">
        <v>19</v>
      </c>
      <c r="U1" s="209" t="s">
        <v>20</v>
      </c>
      <c r="V1" s="209" t="s">
        <v>21</v>
      </c>
      <c r="W1" s="209" t="s">
        <v>102</v>
      </c>
    </row>
    <row r="2" spans="1:25" x14ac:dyDescent="0.25">
      <c r="A2" s="187" t="s">
        <v>24</v>
      </c>
      <c r="B2" s="187" t="s">
        <v>189</v>
      </c>
      <c r="C2" s="187" t="s">
        <v>189</v>
      </c>
      <c r="D2" s="187" t="s">
        <v>316</v>
      </c>
      <c r="E2" s="187" t="s">
        <v>316</v>
      </c>
      <c r="F2" s="187" t="s">
        <v>317</v>
      </c>
      <c r="G2" s="187" t="s">
        <v>317</v>
      </c>
      <c r="H2" s="187" t="s">
        <v>317</v>
      </c>
      <c r="I2" s="187" t="s">
        <v>317</v>
      </c>
      <c r="J2" s="187" t="s">
        <v>191</v>
      </c>
      <c r="K2" s="187" t="s">
        <v>191</v>
      </c>
      <c r="L2" s="187" t="s">
        <v>191</v>
      </c>
      <c r="M2" s="187" t="s">
        <v>193</v>
      </c>
      <c r="N2" s="187" t="s">
        <v>193</v>
      </c>
      <c r="O2" s="187" t="s">
        <v>193</v>
      </c>
      <c r="P2" s="187" t="s">
        <v>193</v>
      </c>
      <c r="Q2" s="187" t="s">
        <v>193</v>
      </c>
      <c r="R2" s="187" t="s">
        <v>193</v>
      </c>
      <c r="S2" s="187" t="s">
        <v>193</v>
      </c>
      <c r="T2" s="187" t="s">
        <v>189</v>
      </c>
      <c r="U2" s="187" t="s">
        <v>189</v>
      </c>
      <c r="V2" s="187" t="s">
        <v>318</v>
      </c>
      <c r="W2" s="187" t="s">
        <v>318</v>
      </c>
    </row>
    <row r="3" spans="1:25" s="38" customFormat="1" x14ac:dyDescent="0.25">
      <c r="A3" s="32" t="s">
        <v>25</v>
      </c>
      <c r="B3" s="32" t="s">
        <v>319</v>
      </c>
      <c r="C3" s="32" t="s">
        <v>319</v>
      </c>
      <c r="D3" s="32" t="s">
        <v>319</v>
      </c>
      <c r="E3" s="32" t="s">
        <v>319</v>
      </c>
      <c r="F3" s="32" t="s">
        <v>320</v>
      </c>
      <c r="G3" s="32" t="s">
        <v>319</v>
      </c>
      <c r="H3" s="32" t="s">
        <v>319</v>
      </c>
      <c r="I3" s="32"/>
      <c r="J3" s="32" t="s">
        <v>319</v>
      </c>
      <c r="K3" s="32" t="s">
        <v>319</v>
      </c>
      <c r="L3" s="32" t="s">
        <v>319</v>
      </c>
      <c r="M3" s="32" t="s">
        <v>321</v>
      </c>
      <c r="N3" s="32" t="s">
        <v>321</v>
      </c>
      <c r="O3" s="32" t="s">
        <v>321</v>
      </c>
      <c r="P3" s="32" t="s">
        <v>321</v>
      </c>
      <c r="Q3" s="32" t="s">
        <v>321</v>
      </c>
      <c r="R3" s="32" t="s">
        <v>321</v>
      </c>
      <c r="S3" s="32" t="s">
        <v>321</v>
      </c>
      <c r="T3" s="32" t="s">
        <v>319</v>
      </c>
      <c r="U3" s="32" t="s">
        <v>319</v>
      </c>
      <c r="V3" s="32" t="s">
        <v>319</v>
      </c>
      <c r="W3" s="32" t="s">
        <v>319</v>
      </c>
    </row>
    <row r="4" spans="1:25" s="38" customFormat="1" x14ac:dyDescent="0.25">
      <c r="A4" s="32" t="s">
        <v>31</v>
      </c>
      <c r="B4" s="32" t="s">
        <v>133</v>
      </c>
      <c r="C4" s="32" t="s">
        <v>133</v>
      </c>
      <c r="D4" s="32" t="s">
        <v>133</v>
      </c>
      <c r="E4" s="32" t="s">
        <v>133</v>
      </c>
      <c r="F4" s="32" t="s">
        <v>133</v>
      </c>
      <c r="G4" s="32" t="s">
        <v>133</v>
      </c>
      <c r="H4" s="32" t="s">
        <v>133</v>
      </c>
      <c r="I4" s="49" t="s">
        <v>322</v>
      </c>
      <c r="J4" s="32" t="s">
        <v>133</v>
      </c>
      <c r="K4" s="32" t="s">
        <v>133</v>
      </c>
      <c r="L4" s="49" t="s">
        <v>323</v>
      </c>
      <c r="M4" s="32" t="s">
        <v>133</v>
      </c>
      <c r="N4" s="49" t="s">
        <v>324</v>
      </c>
      <c r="O4" s="32" t="s">
        <v>133</v>
      </c>
      <c r="P4" s="32" t="s">
        <v>133</v>
      </c>
      <c r="Q4" s="32" t="s">
        <v>133</v>
      </c>
      <c r="R4" s="49" t="s">
        <v>325</v>
      </c>
      <c r="S4" s="32" t="s">
        <v>133</v>
      </c>
      <c r="T4" s="32" t="s">
        <v>133</v>
      </c>
      <c r="U4" s="32" t="s">
        <v>133</v>
      </c>
      <c r="V4" s="49"/>
      <c r="W4" s="32" t="s">
        <v>133</v>
      </c>
    </row>
    <row r="5" spans="1:25" x14ac:dyDescent="0.25">
      <c r="A5" s="187" t="s">
        <v>38</v>
      </c>
      <c r="B5" s="53">
        <v>2012</v>
      </c>
      <c r="C5" s="53">
        <v>2012</v>
      </c>
      <c r="D5" s="53">
        <v>2008</v>
      </c>
      <c r="E5" s="53">
        <v>2008</v>
      </c>
      <c r="F5" s="53">
        <v>2009</v>
      </c>
      <c r="G5" s="53">
        <v>2010</v>
      </c>
      <c r="H5" s="53">
        <v>2009</v>
      </c>
      <c r="I5" s="82">
        <v>2013</v>
      </c>
      <c r="J5" s="53">
        <v>2009</v>
      </c>
      <c r="K5" s="53">
        <v>2008</v>
      </c>
      <c r="L5" s="65">
        <v>2012</v>
      </c>
      <c r="M5" s="71">
        <v>2009</v>
      </c>
      <c r="N5" s="71">
        <v>2013</v>
      </c>
      <c r="O5" s="53">
        <v>2010</v>
      </c>
      <c r="P5" s="53">
        <v>2011</v>
      </c>
      <c r="Q5" s="53">
        <v>2008</v>
      </c>
      <c r="R5" s="71">
        <v>2008</v>
      </c>
      <c r="S5" s="53">
        <v>2009</v>
      </c>
      <c r="T5" s="53">
        <v>2013</v>
      </c>
      <c r="U5" s="53">
        <v>2009</v>
      </c>
      <c r="V5" s="71">
        <v>2011</v>
      </c>
      <c r="W5" s="71">
        <v>2011</v>
      </c>
    </row>
    <row r="6" spans="1:25" x14ac:dyDescent="0.25">
      <c r="A6" s="187" t="s">
        <v>39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71">
        <v>3.4</v>
      </c>
      <c r="N6" s="53">
        <v>3.3</v>
      </c>
      <c r="O6" s="53">
        <v>3.4</v>
      </c>
      <c r="P6" s="53">
        <v>3.4</v>
      </c>
      <c r="Q6" s="53">
        <v>3.4</v>
      </c>
      <c r="R6" s="53">
        <v>3.3</v>
      </c>
      <c r="S6" s="53">
        <v>3.4</v>
      </c>
      <c r="T6" s="82"/>
      <c r="U6" s="82"/>
      <c r="V6" s="71"/>
      <c r="W6" s="71"/>
      <c r="Y6" s="3" t="s">
        <v>40</v>
      </c>
    </row>
    <row r="7" spans="1:25" x14ac:dyDescent="0.25">
      <c r="A7" s="187" t="s">
        <v>41</v>
      </c>
      <c r="B7" s="53">
        <v>2012</v>
      </c>
      <c r="C7" s="53">
        <v>2012</v>
      </c>
      <c r="D7" s="53">
        <v>2008</v>
      </c>
      <c r="E7" s="53">
        <v>2008</v>
      </c>
      <c r="F7" s="53">
        <v>2009</v>
      </c>
      <c r="G7" s="65">
        <v>2010</v>
      </c>
      <c r="H7" s="53">
        <v>2009</v>
      </c>
      <c r="I7" s="82">
        <v>2013</v>
      </c>
      <c r="J7" s="53">
        <v>2009</v>
      </c>
      <c r="K7" s="53">
        <v>2008</v>
      </c>
      <c r="L7" s="65">
        <v>2012</v>
      </c>
      <c r="M7" s="71">
        <v>2009</v>
      </c>
      <c r="N7" s="53">
        <v>2013</v>
      </c>
      <c r="O7" s="53">
        <v>2010</v>
      </c>
      <c r="P7" s="53">
        <v>2011</v>
      </c>
      <c r="Q7" s="53">
        <v>2008</v>
      </c>
      <c r="R7" s="53">
        <v>2008</v>
      </c>
      <c r="S7" s="53">
        <v>2009</v>
      </c>
      <c r="T7" s="53">
        <v>2013</v>
      </c>
      <c r="U7" s="53">
        <v>2009</v>
      </c>
      <c r="V7" s="71">
        <v>2010</v>
      </c>
      <c r="W7" s="71">
        <v>2010</v>
      </c>
      <c r="Y7" s="3" t="s">
        <v>42</v>
      </c>
    </row>
    <row r="8" spans="1:25" x14ac:dyDescent="0.25">
      <c r="A8" s="187" t="s">
        <v>43</v>
      </c>
      <c r="B8" s="53">
        <v>2012</v>
      </c>
      <c r="C8" s="53">
        <v>2012</v>
      </c>
      <c r="D8" s="53">
        <v>2012</v>
      </c>
      <c r="E8" s="53">
        <v>2012</v>
      </c>
      <c r="F8" s="53">
        <v>2013</v>
      </c>
      <c r="G8" s="53">
        <v>2013</v>
      </c>
      <c r="H8" s="53">
        <v>2011</v>
      </c>
      <c r="I8" s="82">
        <v>2013</v>
      </c>
      <c r="J8" s="53">
        <v>2010</v>
      </c>
      <c r="K8" s="53">
        <v>2013</v>
      </c>
      <c r="L8" s="53">
        <v>2012</v>
      </c>
      <c r="M8" s="71">
        <v>2011</v>
      </c>
      <c r="N8" s="53">
        <v>2013</v>
      </c>
      <c r="O8" s="53">
        <v>2010</v>
      </c>
      <c r="P8" s="53">
        <v>2011</v>
      </c>
      <c r="Q8" s="53">
        <v>2012</v>
      </c>
      <c r="R8" s="53">
        <v>2008</v>
      </c>
      <c r="S8" s="53">
        <v>2013</v>
      </c>
      <c r="T8" s="53">
        <v>2012</v>
      </c>
      <c r="U8" s="53">
        <v>2012</v>
      </c>
      <c r="V8" s="71">
        <v>2010</v>
      </c>
      <c r="W8" s="71">
        <v>2010</v>
      </c>
      <c r="Y8" s="3" t="s">
        <v>42</v>
      </c>
    </row>
    <row r="9" spans="1:25" x14ac:dyDescent="0.25">
      <c r="A9" s="187" t="s">
        <v>44</v>
      </c>
      <c r="B9" s="53">
        <v>2012</v>
      </c>
      <c r="C9" s="53">
        <v>2012</v>
      </c>
      <c r="D9" s="71">
        <v>2012</v>
      </c>
      <c r="E9" s="71">
        <v>2012</v>
      </c>
      <c r="F9" s="71">
        <v>2013</v>
      </c>
      <c r="G9" s="65">
        <v>2013</v>
      </c>
      <c r="H9" s="71">
        <v>2013</v>
      </c>
      <c r="I9" s="82">
        <v>2013</v>
      </c>
      <c r="J9" s="71">
        <v>2013</v>
      </c>
      <c r="K9" s="71">
        <v>2013</v>
      </c>
      <c r="L9" s="71">
        <v>2013</v>
      </c>
      <c r="M9" s="71">
        <v>2013</v>
      </c>
      <c r="N9" s="71">
        <v>2013</v>
      </c>
      <c r="O9" s="71">
        <v>2012</v>
      </c>
      <c r="P9" s="71">
        <v>2013</v>
      </c>
      <c r="Q9" s="71">
        <v>2012</v>
      </c>
      <c r="R9" s="71">
        <v>2013</v>
      </c>
      <c r="S9" s="71">
        <v>2013</v>
      </c>
      <c r="T9" s="53">
        <v>2013</v>
      </c>
      <c r="U9" s="53">
        <v>2009</v>
      </c>
      <c r="V9" s="71">
        <v>2012</v>
      </c>
      <c r="W9" s="71">
        <v>2012</v>
      </c>
      <c r="Y9" s="3" t="s">
        <v>45</v>
      </c>
    </row>
    <row r="10" spans="1:25" x14ac:dyDescent="0.25">
      <c r="A10" s="187" t="s">
        <v>46</v>
      </c>
      <c r="B10" s="53">
        <v>2012</v>
      </c>
      <c r="C10" s="53">
        <v>2012</v>
      </c>
      <c r="D10" s="53">
        <v>2012</v>
      </c>
      <c r="E10" s="65">
        <v>2012</v>
      </c>
      <c r="F10" s="53"/>
      <c r="G10" s="65"/>
      <c r="H10" s="53"/>
      <c r="I10" s="82">
        <v>2013</v>
      </c>
      <c r="J10" s="53"/>
      <c r="K10" s="53"/>
      <c r="L10" s="53"/>
      <c r="M10" s="71"/>
      <c r="N10" s="53"/>
      <c r="O10" s="65" t="s">
        <v>326</v>
      </c>
      <c r="P10" s="53"/>
      <c r="Q10" s="53"/>
      <c r="R10" s="71"/>
      <c r="S10" s="53"/>
      <c r="T10" s="53"/>
      <c r="U10" s="53"/>
      <c r="V10" s="71">
        <v>2010</v>
      </c>
      <c r="W10" s="71">
        <v>2010</v>
      </c>
      <c r="Y10" s="3" t="s">
        <v>42</v>
      </c>
    </row>
    <row r="11" spans="1:25" x14ac:dyDescent="0.25">
      <c r="A11" s="187" t="s">
        <v>50</v>
      </c>
      <c r="B11" s="53">
        <v>2012</v>
      </c>
      <c r="C11" s="53">
        <v>2012</v>
      </c>
      <c r="D11" s="71">
        <v>2010</v>
      </c>
      <c r="E11" s="53">
        <v>2012</v>
      </c>
      <c r="F11" s="53">
        <v>2013</v>
      </c>
      <c r="G11" s="131">
        <v>2011</v>
      </c>
      <c r="H11" s="71">
        <v>2011</v>
      </c>
      <c r="I11" s="82">
        <v>2013</v>
      </c>
      <c r="J11" s="53">
        <v>2012</v>
      </c>
      <c r="K11" s="53">
        <v>2012</v>
      </c>
      <c r="L11" s="53">
        <v>2012</v>
      </c>
      <c r="M11" s="71">
        <v>2013</v>
      </c>
      <c r="N11" s="53">
        <v>2013</v>
      </c>
      <c r="O11" s="71">
        <v>2011</v>
      </c>
      <c r="P11" s="71">
        <v>2011</v>
      </c>
      <c r="Q11" s="53">
        <v>2012</v>
      </c>
      <c r="R11" s="53">
        <v>2012</v>
      </c>
      <c r="S11" s="53">
        <v>2012</v>
      </c>
      <c r="T11" s="53">
        <v>2013</v>
      </c>
      <c r="U11" s="53">
        <v>2012</v>
      </c>
      <c r="V11" s="71">
        <v>2010</v>
      </c>
      <c r="W11" s="71">
        <v>2010</v>
      </c>
      <c r="Y11" s="3" t="s">
        <v>51</v>
      </c>
    </row>
    <row r="12" spans="1:25" x14ac:dyDescent="0.25">
      <c r="A12" s="187" t="s">
        <v>52</v>
      </c>
      <c r="B12" s="53">
        <v>2012</v>
      </c>
      <c r="C12" s="53">
        <v>2012</v>
      </c>
      <c r="D12" s="53">
        <v>2012</v>
      </c>
      <c r="E12" s="53">
        <v>2012</v>
      </c>
      <c r="F12" s="53">
        <v>2013</v>
      </c>
      <c r="G12" s="65">
        <v>2012</v>
      </c>
      <c r="H12" s="53">
        <v>2012</v>
      </c>
      <c r="I12" s="82">
        <v>2013</v>
      </c>
      <c r="J12" s="53">
        <v>2011</v>
      </c>
      <c r="K12" s="53">
        <v>2011</v>
      </c>
      <c r="L12" s="53">
        <v>2012</v>
      </c>
      <c r="M12" s="71">
        <v>2013</v>
      </c>
      <c r="N12" s="53">
        <v>2013</v>
      </c>
      <c r="O12" s="71">
        <v>2010</v>
      </c>
      <c r="P12" s="71">
        <v>2011</v>
      </c>
      <c r="Q12" s="131">
        <v>2012</v>
      </c>
      <c r="R12" s="53">
        <v>2012</v>
      </c>
      <c r="S12" s="53">
        <v>2012</v>
      </c>
      <c r="T12" s="53">
        <v>2013</v>
      </c>
      <c r="U12" s="53">
        <v>2013</v>
      </c>
      <c r="V12" s="71">
        <v>2010</v>
      </c>
      <c r="W12" s="71">
        <v>2010</v>
      </c>
      <c r="Y12" s="3" t="s">
        <v>51</v>
      </c>
    </row>
    <row r="13" spans="1:25" x14ac:dyDescent="0.25">
      <c r="A13" s="187" t="s">
        <v>54</v>
      </c>
      <c r="B13" s="53">
        <v>2012</v>
      </c>
      <c r="C13" s="53">
        <v>2012</v>
      </c>
      <c r="D13" s="71">
        <v>2012</v>
      </c>
      <c r="E13" s="71">
        <v>2012</v>
      </c>
      <c r="F13" s="71">
        <v>2013</v>
      </c>
      <c r="G13" s="71">
        <v>2010</v>
      </c>
      <c r="H13" s="71">
        <v>2012</v>
      </c>
      <c r="I13" s="82">
        <v>2013</v>
      </c>
      <c r="J13" s="71">
        <v>2010</v>
      </c>
      <c r="K13" s="71">
        <v>2010</v>
      </c>
      <c r="L13" s="71">
        <v>2012</v>
      </c>
      <c r="M13" s="71">
        <v>2013</v>
      </c>
      <c r="N13" s="71">
        <v>2013</v>
      </c>
      <c r="O13" s="71">
        <v>2011</v>
      </c>
      <c r="P13" s="71">
        <v>2012</v>
      </c>
      <c r="Q13" s="71">
        <v>2013</v>
      </c>
      <c r="R13" s="71">
        <v>2013</v>
      </c>
      <c r="S13" s="71">
        <v>2013</v>
      </c>
      <c r="T13" s="53">
        <v>2013</v>
      </c>
      <c r="U13" s="53">
        <v>2011</v>
      </c>
      <c r="V13" s="71">
        <v>2010</v>
      </c>
      <c r="W13" s="71">
        <v>2010</v>
      </c>
      <c r="Y13" s="3" t="s">
        <v>55</v>
      </c>
    </row>
    <row r="14" spans="1:25" x14ac:dyDescent="0.25">
      <c r="A14" s="187" t="s">
        <v>56</v>
      </c>
      <c r="B14" s="53">
        <v>2012</v>
      </c>
      <c r="C14" s="53">
        <v>2012</v>
      </c>
      <c r="D14" s="65">
        <v>2012</v>
      </c>
      <c r="E14" s="71">
        <v>2012</v>
      </c>
      <c r="F14" s="71">
        <v>2012</v>
      </c>
      <c r="G14" s="71">
        <v>2012</v>
      </c>
      <c r="H14" s="71">
        <v>2010</v>
      </c>
      <c r="I14" s="82">
        <v>2013</v>
      </c>
      <c r="J14" s="71">
        <v>2010</v>
      </c>
      <c r="K14" s="71">
        <v>2010</v>
      </c>
      <c r="L14" s="71">
        <v>2012</v>
      </c>
      <c r="M14" s="65">
        <v>2013</v>
      </c>
      <c r="N14" s="71">
        <v>2013</v>
      </c>
      <c r="O14" s="71">
        <v>2010</v>
      </c>
      <c r="P14" s="53" t="s">
        <v>114</v>
      </c>
      <c r="Q14" s="71">
        <v>2012</v>
      </c>
      <c r="R14" s="65">
        <v>2012</v>
      </c>
      <c r="S14" s="71">
        <v>2013</v>
      </c>
      <c r="T14" s="53">
        <v>2013</v>
      </c>
      <c r="U14" s="53">
        <v>2011</v>
      </c>
      <c r="V14" s="71">
        <v>2010</v>
      </c>
      <c r="W14" s="71">
        <v>2010</v>
      </c>
      <c r="Y14" s="3" t="s">
        <v>55</v>
      </c>
    </row>
    <row r="15" spans="1:25" x14ac:dyDescent="0.25">
      <c r="A15" s="187" t="s">
        <v>57</v>
      </c>
      <c r="B15" s="53">
        <v>2012</v>
      </c>
      <c r="C15" s="53">
        <v>2012</v>
      </c>
      <c r="D15" s="71" t="s">
        <v>327</v>
      </c>
      <c r="E15" s="53">
        <v>2012</v>
      </c>
      <c r="F15" s="53">
        <v>2012</v>
      </c>
      <c r="G15" s="210">
        <v>2012</v>
      </c>
      <c r="H15" s="53">
        <v>2012</v>
      </c>
      <c r="I15" s="82">
        <v>2013</v>
      </c>
      <c r="J15" s="71">
        <v>2011</v>
      </c>
      <c r="K15" s="53">
        <v>2012</v>
      </c>
      <c r="L15" s="53">
        <v>2012</v>
      </c>
      <c r="M15" s="71">
        <v>2013</v>
      </c>
      <c r="N15" s="53">
        <v>2013</v>
      </c>
      <c r="O15" s="131">
        <v>2012</v>
      </c>
      <c r="P15" s="53" t="s">
        <v>114</v>
      </c>
      <c r="Q15" s="53">
        <v>2012</v>
      </c>
      <c r="R15" s="53">
        <v>2012</v>
      </c>
      <c r="S15" s="53" t="s">
        <v>114</v>
      </c>
      <c r="T15" s="53">
        <v>2013</v>
      </c>
      <c r="U15" s="53">
        <v>2009</v>
      </c>
      <c r="V15" s="71">
        <v>2010</v>
      </c>
      <c r="W15" s="71">
        <v>2010</v>
      </c>
      <c r="Y15" s="3" t="s">
        <v>281</v>
      </c>
    </row>
    <row r="16" spans="1:25" x14ac:dyDescent="0.25">
      <c r="A16" s="187" t="s">
        <v>69</v>
      </c>
      <c r="B16" s="53">
        <v>2012</v>
      </c>
      <c r="C16" s="53">
        <v>2012</v>
      </c>
      <c r="D16" s="71" t="s">
        <v>225</v>
      </c>
      <c r="E16" s="71">
        <v>2012</v>
      </c>
      <c r="F16" s="65">
        <v>2013</v>
      </c>
      <c r="G16" s="65">
        <v>2012</v>
      </c>
      <c r="H16" s="65">
        <v>2012</v>
      </c>
      <c r="I16" s="82">
        <v>2013</v>
      </c>
      <c r="J16" s="71">
        <v>2011</v>
      </c>
      <c r="K16" s="71">
        <v>2010</v>
      </c>
      <c r="L16" s="65">
        <v>2012</v>
      </c>
      <c r="M16" s="71">
        <v>2013</v>
      </c>
      <c r="N16" s="71">
        <v>2013</v>
      </c>
      <c r="O16" s="71">
        <v>2012</v>
      </c>
      <c r="P16" s="53" t="s">
        <v>114</v>
      </c>
      <c r="Q16" s="71">
        <v>2012</v>
      </c>
      <c r="R16" s="71">
        <v>2012</v>
      </c>
      <c r="S16" s="53">
        <v>2013</v>
      </c>
      <c r="T16" s="53">
        <v>2013</v>
      </c>
      <c r="U16" s="53">
        <v>2009</v>
      </c>
      <c r="V16" s="71">
        <v>2010</v>
      </c>
      <c r="W16" s="71">
        <v>2010</v>
      </c>
      <c r="Y16" s="3" t="s">
        <v>70</v>
      </c>
    </row>
    <row r="17" spans="1:25" x14ac:dyDescent="0.25">
      <c r="A17" s="187" t="s">
        <v>145</v>
      </c>
      <c r="B17" s="53">
        <v>2012</v>
      </c>
      <c r="C17" s="53">
        <v>2012</v>
      </c>
      <c r="D17" s="131">
        <v>2008</v>
      </c>
      <c r="E17" s="131">
        <v>2010</v>
      </c>
      <c r="F17" s="131">
        <v>2013</v>
      </c>
      <c r="G17" s="131">
        <v>2012</v>
      </c>
      <c r="H17" s="131">
        <v>2013</v>
      </c>
      <c r="I17" s="82">
        <v>2013</v>
      </c>
      <c r="J17" s="53">
        <v>2009</v>
      </c>
      <c r="K17" s="53">
        <v>2012</v>
      </c>
      <c r="L17" s="53">
        <v>2012</v>
      </c>
      <c r="M17" s="131">
        <v>2013</v>
      </c>
      <c r="N17" s="53">
        <v>2013</v>
      </c>
      <c r="O17" s="71">
        <v>2010</v>
      </c>
      <c r="P17" s="53" t="s">
        <v>114</v>
      </c>
      <c r="Q17" s="71">
        <v>2011</v>
      </c>
      <c r="R17" s="53">
        <v>2013</v>
      </c>
      <c r="S17" s="53">
        <v>2013</v>
      </c>
      <c r="T17" s="127">
        <v>2013</v>
      </c>
      <c r="U17" s="53">
        <v>2009</v>
      </c>
      <c r="V17" s="71">
        <v>2010</v>
      </c>
      <c r="W17" s="71">
        <v>2010</v>
      </c>
      <c r="Y17" s="3" t="s">
        <v>42</v>
      </c>
    </row>
    <row r="18" spans="1:25" x14ac:dyDescent="0.25">
      <c r="A18" s="187" t="s">
        <v>71</v>
      </c>
      <c r="B18" s="53">
        <v>2008</v>
      </c>
      <c r="C18" s="53">
        <v>2008</v>
      </c>
      <c r="D18" s="53">
        <v>2008</v>
      </c>
      <c r="E18" s="65">
        <v>2008</v>
      </c>
      <c r="F18" s="53">
        <v>2012</v>
      </c>
      <c r="G18" s="53">
        <v>2013</v>
      </c>
      <c r="H18" s="53">
        <v>2012</v>
      </c>
      <c r="I18" s="82">
        <v>2013</v>
      </c>
      <c r="J18" s="53">
        <v>2009</v>
      </c>
      <c r="K18" s="53">
        <v>2010</v>
      </c>
      <c r="L18" s="65">
        <v>2013</v>
      </c>
      <c r="M18" s="71">
        <v>2012</v>
      </c>
      <c r="N18" s="53">
        <v>2012</v>
      </c>
      <c r="O18" s="53">
        <v>2010</v>
      </c>
      <c r="P18" s="53">
        <v>2011</v>
      </c>
      <c r="Q18" s="53">
        <v>2012</v>
      </c>
      <c r="R18" s="71">
        <v>2013</v>
      </c>
      <c r="S18" s="53">
        <v>2013</v>
      </c>
      <c r="T18" s="53">
        <v>2013</v>
      </c>
      <c r="U18" s="53">
        <v>2009</v>
      </c>
      <c r="V18" s="71">
        <v>2010</v>
      </c>
      <c r="W18" s="71">
        <v>2010</v>
      </c>
      <c r="Y18" s="3" t="s">
        <v>42</v>
      </c>
    </row>
    <row r="19" spans="1:25" x14ac:dyDescent="0.25">
      <c r="A19" s="187" t="s">
        <v>72</v>
      </c>
      <c r="B19" s="53">
        <v>2008</v>
      </c>
      <c r="C19" s="53">
        <v>2008</v>
      </c>
      <c r="D19" s="53">
        <v>2008</v>
      </c>
      <c r="E19" s="53">
        <v>2008</v>
      </c>
      <c r="F19" s="53">
        <v>2009</v>
      </c>
      <c r="G19" s="53">
        <v>2013</v>
      </c>
      <c r="H19" s="53">
        <v>2013</v>
      </c>
      <c r="I19" s="82">
        <v>2013</v>
      </c>
      <c r="J19" s="53">
        <v>2009</v>
      </c>
      <c r="K19" s="53">
        <v>2013</v>
      </c>
      <c r="L19" s="65">
        <v>2013</v>
      </c>
      <c r="M19" s="71">
        <v>2009</v>
      </c>
      <c r="N19" s="65">
        <v>2009</v>
      </c>
      <c r="O19" s="53">
        <v>2010</v>
      </c>
      <c r="P19" s="53">
        <v>2011</v>
      </c>
      <c r="Q19" s="71">
        <v>2008</v>
      </c>
      <c r="R19" s="65">
        <v>2008</v>
      </c>
      <c r="S19" s="71">
        <v>2009</v>
      </c>
      <c r="T19" s="53">
        <v>2013</v>
      </c>
      <c r="U19" s="53">
        <v>2009</v>
      </c>
      <c r="V19" s="71" t="s">
        <v>328</v>
      </c>
      <c r="W19" s="71">
        <v>2012</v>
      </c>
      <c r="Y19" s="3" t="s">
        <v>42</v>
      </c>
    </row>
    <row r="20" spans="1:25" x14ac:dyDescent="0.25">
      <c r="A20" s="187" t="s">
        <v>73</v>
      </c>
      <c r="B20" s="53"/>
      <c r="C20" s="53"/>
      <c r="D20" s="53"/>
      <c r="E20" s="53"/>
      <c r="F20" s="53"/>
      <c r="G20" s="53"/>
      <c r="H20" s="53"/>
      <c r="I20" s="82">
        <v>2013</v>
      </c>
      <c r="J20" s="53"/>
      <c r="K20" s="53"/>
      <c r="L20" s="65"/>
      <c r="M20" s="71"/>
      <c r="N20" s="65"/>
      <c r="O20" s="65"/>
      <c r="P20" s="53"/>
      <c r="Q20" s="71"/>
      <c r="R20" s="65"/>
      <c r="S20" s="71"/>
      <c r="T20" s="53"/>
      <c r="U20" s="53"/>
      <c r="V20" s="71"/>
      <c r="W20" s="71"/>
      <c r="Y20" s="3" t="s">
        <v>42</v>
      </c>
    </row>
    <row r="21" spans="1:25" x14ac:dyDescent="0.25">
      <c r="A21" s="187" t="s">
        <v>74</v>
      </c>
      <c r="B21" s="53">
        <v>2012</v>
      </c>
      <c r="C21" s="53">
        <v>2012</v>
      </c>
      <c r="D21" s="53">
        <v>2008</v>
      </c>
      <c r="E21" s="53">
        <v>2008</v>
      </c>
      <c r="F21" s="53">
        <v>2009</v>
      </c>
      <c r="G21" s="53">
        <v>2013</v>
      </c>
      <c r="H21" s="53">
        <v>2009</v>
      </c>
      <c r="I21" s="82">
        <v>2013</v>
      </c>
      <c r="J21" s="53">
        <v>2009</v>
      </c>
      <c r="K21" s="53">
        <v>2008</v>
      </c>
      <c r="L21" s="65">
        <v>2013</v>
      </c>
      <c r="M21" s="71">
        <v>2013</v>
      </c>
      <c r="N21" s="65">
        <v>2013</v>
      </c>
      <c r="O21" s="65">
        <v>2010</v>
      </c>
      <c r="P21" s="53">
        <v>2011</v>
      </c>
      <c r="Q21" s="71">
        <v>2008</v>
      </c>
      <c r="R21" s="65">
        <v>2013</v>
      </c>
      <c r="S21" s="71">
        <v>2009</v>
      </c>
      <c r="T21" s="53">
        <v>2013</v>
      </c>
      <c r="U21" s="53">
        <v>2009</v>
      </c>
      <c r="V21" s="71">
        <v>2010</v>
      </c>
      <c r="W21" s="53">
        <v>2010</v>
      </c>
      <c r="Y21" s="3" t="s">
        <v>42</v>
      </c>
    </row>
    <row r="22" spans="1:25" x14ac:dyDescent="0.25">
      <c r="A22" s="187" t="s">
        <v>75</v>
      </c>
      <c r="B22" s="53">
        <v>2012</v>
      </c>
      <c r="C22" s="53">
        <v>2012</v>
      </c>
      <c r="D22" s="53">
        <v>2012</v>
      </c>
      <c r="E22" s="53">
        <v>2012</v>
      </c>
      <c r="F22" s="53"/>
      <c r="G22" s="53"/>
      <c r="H22" s="53"/>
      <c r="I22" s="82">
        <v>2013</v>
      </c>
      <c r="J22" s="53"/>
      <c r="K22" s="53"/>
      <c r="L22" s="127"/>
      <c r="M22" s="71"/>
      <c r="N22" s="53"/>
      <c r="O22" s="53"/>
      <c r="P22" s="53"/>
      <c r="Q22" s="53"/>
      <c r="R22" s="53"/>
      <c r="S22" s="53"/>
      <c r="T22" s="53"/>
      <c r="U22" s="53"/>
      <c r="V22" s="71">
        <v>2010</v>
      </c>
      <c r="W22" s="71"/>
      <c r="Y22" s="3" t="s">
        <v>329</v>
      </c>
    </row>
    <row r="23" spans="1:25" x14ac:dyDescent="0.25">
      <c r="A23" s="187" t="s">
        <v>78</v>
      </c>
      <c r="B23" s="53">
        <v>2012</v>
      </c>
      <c r="C23" s="53">
        <v>2012</v>
      </c>
      <c r="D23" s="53">
        <v>2008</v>
      </c>
      <c r="E23" s="53">
        <v>2010</v>
      </c>
      <c r="F23" s="53"/>
      <c r="G23" s="53"/>
      <c r="H23" s="53"/>
      <c r="I23" s="82">
        <v>2013</v>
      </c>
      <c r="J23" s="53"/>
      <c r="K23" s="53"/>
      <c r="L23" s="131"/>
      <c r="M23" s="71"/>
      <c r="N23" s="53"/>
      <c r="O23" s="53"/>
      <c r="P23" s="127" t="s">
        <v>330</v>
      </c>
      <c r="Q23" s="53"/>
      <c r="R23" s="53"/>
      <c r="S23" s="53"/>
      <c r="T23" s="53"/>
      <c r="U23" s="53"/>
      <c r="V23" s="71">
        <v>2010</v>
      </c>
      <c r="W23" s="53">
        <v>2010</v>
      </c>
      <c r="Y23" s="3" t="s">
        <v>42</v>
      </c>
    </row>
    <row r="24" spans="1:25" x14ac:dyDescent="0.25">
      <c r="A24" s="187" t="s">
        <v>146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65">
        <v>2011</v>
      </c>
      <c r="Q24" s="82"/>
      <c r="R24" s="82"/>
      <c r="S24" s="82"/>
      <c r="T24" s="82"/>
      <c r="U24" s="82"/>
      <c r="V24" s="82"/>
      <c r="W24" s="82"/>
    </row>
    <row r="25" spans="1:25" x14ac:dyDescent="0.25">
      <c r="A25" s="187" t="s">
        <v>293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 t="s">
        <v>88</v>
      </c>
      <c r="N25" s="82"/>
      <c r="O25" s="82"/>
      <c r="P25" s="82"/>
      <c r="Q25" s="82"/>
      <c r="R25" s="82"/>
      <c r="S25" s="82" t="s">
        <v>88</v>
      </c>
      <c r="T25" s="82"/>
      <c r="U25" s="82"/>
      <c r="V25" s="82"/>
      <c r="W25" s="82"/>
    </row>
    <row r="26" spans="1:25" x14ac:dyDescent="0.25">
      <c r="A26" s="187" t="s">
        <v>80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 t="s">
        <v>88</v>
      </c>
      <c r="N26" s="82"/>
      <c r="O26" s="82"/>
      <c r="P26" s="82"/>
      <c r="Q26" s="82"/>
      <c r="R26" s="82"/>
      <c r="S26" s="82"/>
      <c r="T26" s="82"/>
      <c r="U26" s="82"/>
      <c r="V26" s="82"/>
      <c r="W26" s="82"/>
      <c r="Y26" s="3" t="s">
        <v>42</v>
      </c>
    </row>
    <row r="27" spans="1:25" x14ac:dyDescent="0.25">
      <c r="A27" s="187" t="s">
        <v>294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</row>
    <row r="28" spans="1:25" x14ac:dyDescent="0.25">
      <c r="A28" s="187" t="s">
        <v>167</v>
      </c>
      <c r="B28" s="88">
        <v>0</v>
      </c>
      <c r="C28" s="88">
        <v>0</v>
      </c>
      <c r="D28" s="88">
        <v>14</v>
      </c>
      <c r="E28" s="88">
        <v>14</v>
      </c>
      <c r="F28" s="88">
        <v>14</v>
      </c>
      <c r="G28" s="88">
        <v>14</v>
      </c>
      <c r="H28" s="88">
        <v>14</v>
      </c>
      <c r="I28" s="88">
        <v>14</v>
      </c>
      <c r="J28" s="88">
        <v>14</v>
      </c>
      <c r="K28" s="88">
        <v>14</v>
      </c>
      <c r="L28" s="88">
        <v>14</v>
      </c>
      <c r="M28" s="88">
        <v>14</v>
      </c>
      <c r="N28" s="88">
        <v>14</v>
      </c>
      <c r="O28" s="88">
        <v>14</v>
      </c>
      <c r="P28" s="88">
        <v>0</v>
      </c>
      <c r="Q28" s="88">
        <v>14</v>
      </c>
      <c r="R28" s="88">
        <v>14</v>
      </c>
      <c r="S28" s="88">
        <v>11</v>
      </c>
      <c r="T28" s="88">
        <v>14</v>
      </c>
      <c r="U28" s="88">
        <v>14</v>
      </c>
      <c r="V28" s="88">
        <v>14</v>
      </c>
      <c r="W28" s="88">
        <v>14</v>
      </c>
    </row>
    <row r="29" spans="1:25" x14ac:dyDescent="0.25">
      <c r="A29" s="187" t="s">
        <v>83</v>
      </c>
      <c r="B29" s="88" t="s">
        <v>37</v>
      </c>
      <c r="C29" s="88" t="s">
        <v>37</v>
      </c>
      <c r="D29" s="88" t="s">
        <v>37</v>
      </c>
      <c r="E29" s="88" t="s">
        <v>37</v>
      </c>
      <c r="F29" s="88" t="s">
        <v>37</v>
      </c>
      <c r="G29" s="88" t="s">
        <v>37</v>
      </c>
      <c r="H29" s="88" t="s">
        <v>37</v>
      </c>
      <c r="I29" s="88" t="s">
        <v>37</v>
      </c>
      <c r="J29" s="88" t="s">
        <v>37</v>
      </c>
      <c r="K29" s="88" t="s">
        <v>37</v>
      </c>
      <c r="L29" s="88" t="s">
        <v>37</v>
      </c>
      <c r="M29" s="88">
        <v>8</v>
      </c>
      <c r="N29" s="88">
        <v>5</v>
      </c>
      <c r="O29" s="88">
        <v>8</v>
      </c>
      <c r="P29" s="88">
        <v>0</v>
      </c>
      <c r="Q29" s="88">
        <v>8</v>
      </c>
      <c r="R29" s="88">
        <v>5</v>
      </c>
      <c r="S29" s="88">
        <v>0</v>
      </c>
      <c r="T29" s="88" t="s">
        <v>37</v>
      </c>
      <c r="U29" s="88" t="s">
        <v>37</v>
      </c>
      <c r="V29" s="88" t="s">
        <v>37</v>
      </c>
      <c r="W29" s="88" t="s">
        <v>37</v>
      </c>
    </row>
    <row r="30" spans="1:25" x14ac:dyDescent="0.25">
      <c r="A30" s="187" t="s">
        <v>84</v>
      </c>
      <c r="B30" s="318">
        <v>0</v>
      </c>
      <c r="C30" s="318"/>
      <c r="D30" s="318">
        <v>0</v>
      </c>
      <c r="E30" s="318"/>
      <c r="F30" s="318" t="s">
        <v>37</v>
      </c>
      <c r="G30" s="318"/>
      <c r="H30" s="318"/>
      <c r="I30" s="318"/>
      <c r="J30" s="318" t="s">
        <v>37</v>
      </c>
      <c r="K30" s="318"/>
      <c r="L30" s="318"/>
      <c r="M30" s="318">
        <v>17</v>
      </c>
      <c r="N30" s="318"/>
      <c r="O30" s="318"/>
      <c r="P30" s="318">
        <v>22</v>
      </c>
      <c r="Q30" s="318"/>
      <c r="R30" s="318"/>
      <c r="S30" s="318"/>
      <c r="T30" s="321" t="s">
        <v>37</v>
      </c>
      <c r="U30" s="321"/>
      <c r="V30" s="318" t="s">
        <v>37</v>
      </c>
      <c r="W30" s="318"/>
    </row>
    <row r="31" spans="1:25" x14ac:dyDescent="0.25">
      <c r="A31" s="187" t="s">
        <v>85</v>
      </c>
      <c r="B31" s="318">
        <v>0</v>
      </c>
      <c r="C31" s="318"/>
      <c r="D31" s="318" t="e">
        <f>D28+E28-D29-E29-D30</f>
        <v>#VALUE!</v>
      </c>
      <c r="E31" s="318"/>
      <c r="F31" s="318" t="e">
        <f>F28+G28+H28+I28-F29-G29-H29-I29-F30</f>
        <v>#VALUE!</v>
      </c>
      <c r="G31" s="318"/>
      <c r="H31" s="318"/>
      <c r="I31" s="318"/>
      <c r="J31" s="318" t="e">
        <f>J28+K28+L28-J29-K29-L29-J30</f>
        <v>#VALUE!</v>
      </c>
      <c r="K31" s="318"/>
      <c r="L31" s="318"/>
      <c r="M31" s="318">
        <f>M28+N28+O28-M29-N29-O29-M30</f>
        <v>4</v>
      </c>
      <c r="N31" s="318"/>
      <c r="O31" s="318"/>
      <c r="P31" s="318">
        <f>P28+Q28+R28+S28-P29-Q29-R29-S29-P30</f>
        <v>4</v>
      </c>
      <c r="Q31" s="318"/>
      <c r="R31" s="318"/>
      <c r="S31" s="318"/>
      <c r="T31" s="321" t="e">
        <f>T28+U28-T29-U29-T30</f>
        <v>#VALUE!</v>
      </c>
      <c r="U31" s="321"/>
      <c r="V31" s="318" t="e">
        <f>V28+W28-V29-W29-V30</f>
        <v>#VALUE!</v>
      </c>
      <c r="W31" s="318"/>
    </row>
    <row r="32" spans="1:25" x14ac:dyDescent="0.25">
      <c r="A32" s="187" t="s">
        <v>86</v>
      </c>
      <c r="B32" s="318" t="s">
        <v>90</v>
      </c>
      <c r="C32" s="318"/>
      <c r="D32" s="318" t="s">
        <v>88</v>
      </c>
      <c r="E32" s="318"/>
      <c r="F32" s="318" t="s">
        <v>88</v>
      </c>
      <c r="G32" s="318"/>
      <c r="H32" s="318"/>
      <c r="I32" s="318"/>
      <c r="J32" s="318" t="s">
        <v>88</v>
      </c>
      <c r="K32" s="318"/>
      <c r="L32" s="318"/>
      <c r="M32" s="318" t="s">
        <v>88</v>
      </c>
      <c r="N32" s="318"/>
      <c r="O32" s="318"/>
      <c r="P32" s="318" t="s">
        <v>88</v>
      </c>
      <c r="Q32" s="318"/>
      <c r="R32" s="318"/>
      <c r="S32" s="318"/>
      <c r="T32" s="318">
        <v>4</v>
      </c>
      <c r="U32" s="318"/>
      <c r="V32" s="318"/>
      <c r="W32" s="318"/>
    </row>
    <row r="33" spans="1:23" x14ac:dyDescent="0.25">
      <c r="A33" s="187" t="s">
        <v>130</v>
      </c>
      <c r="B33" s="318" t="s">
        <v>114</v>
      </c>
      <c r="C33" s="318"/>
      <c r="D33" s="318" t="s">
        <v>114</v>
      </c>
      <c r="E33" s="318"/>
      <c r="F33" s="318" t="s">
        <v>331</v>
      </c>
      <c r="G33" s="318"/>
      <c r="H33" s="318"/>
      <c r="I33" s="318"/>
      <c r="J33" s="318" t="s">
        <v>332</v>
      </c>
      <c r="K33" s="318"/>
      <c r="L33" s="318"/>
      <c r="M33" s="318" t="s">
        <v>235</v>
      </c>
      <c r="N33" s="318"/>
      <c r="O33" s="318"/>
      <c r="P33" s="319" t="s">
        <v>333</v>
      </c>
      <c r="Q33" s="319"/>
      <c r="R33" s="319"/>
      <c r="S33" s="319"/>
      <c r="T33" s="318" t="s">
        <v>237</v>
      </c>
      <c r="U33" s="318"/>
      <c r="V33" s="318" t="s">
        <v>114</v>
      </c>
      <c r="W33" s="318"/>
    </row>
    <row r="34" spans="1:23" s="118" customFormat="1" ht="218.25" x14ac:dyDescent="0.25">
      <c r="A34" s="194"/>
      <c r="B34" s="197"/>
      <c r="C34" s="197"/>
      <c r="D34" s="197"/>
      <c r="E34" s="197"/>
      <c r="F34" s="197"/>
      <c r="G34" s="197" t="s">
        <v>334</v>
      </c>
      <c r="H34" s="197" t="s">
        <v>335</v>
      </c>
      <c r="I34" s="197" t="s">
        <v>336</v>
      </c>
      <c r="J34" s="197"/>
      <c r="K34" s="197"/>
      <c r="L34" s="197" t="s">
        <v>337</v>
      </c>
      <c r="M34" s="197" t="s">
        <v>338</v>
      </c>
      <c r="N34" s="197"/>
      <c r="O34" s="197" t="s">
        <v>339</v>
      </c>
      <c r="P34" s="197" t="s">
        <v>304</v>
      </c>
      <c r="Q34" s="197"/>
      <c r="R34" s="197"/>
      <c r="S34" s="197" t="s">
        <v>340</v>
      </c>
      <c r="T34" s="197"/>
      <c r="U34" s="197"/>
      <c r="V34" s="197" t="s">
        <v>341</v>
      </c>
      <c r="W34" s="197" t="s">
        <v>341</v>
      </c>
    </row>
    <row r="35" spans="1:23" s="64" customFormat="1" x14ac:dyDescent="0.25">
      <c r="A35" s="53" t="s">
        <v>91</v>
      </c>
    </row>
    <row r="36" spans="1:23" s="121" customFormat="1" x14ac:dyDescent="0.25">
      <c r="A36" s="88" t="s">
        <v>93</v>
      </c>
    </row>
    <row r="37" spans="1:23" s="122" customFormat="1" x14ac:dyDescent="0.25">
      <c r="A37" s="65" t="s">
        <v>94</v>
      </c>
    </row>
    <row r="38" spans="1:23" s="58" customFormat="1" x14ac:dyDescent="0.25">
      <c r="A38" s="71" t="s">
        <v>95</v>
      </c>
    </row>
    <row r="39" spans="1:23" s="126" customFormat="1" x14ac:dyDescent="0.25">
      <c r="A39" s="127" t="s">
        <v>96</v>
      </c>
    </row>
    <row r="40" spans="1:23" s="132" customFormat="1" x14ac:dyDescent="0.25">
      <c r="A40" s="131" t="s">
        <v>97</v>
      </c>
    </row>
  </sheetData>
  <mergeCells count="32">
    <mergeCell ref="P30:S30"/>
    <mergeCell ref="T30:U30"/>
    <mergeCell ref="V30:W30"/>
    <mergeCell ref="B31:C31"/>
    <mergeCell ref="D31:E31"/>
    <mergeCell ref="F31:I31"/>
    <mergeCell ref="J31:L31"/>
    <mergeCell ref="M31:O31"/>
    <mergeCell ref="P31:S31"/>
    <mergeCell ref="T31:U31"/>
    <mergeCell ref="V31:W31"/>
    <mergeCell ref="B30:C30"/>
    <mergeCell ref="D30:E30"/>
    <mergeCell ref="F30:I30"/>
    <mergeCell ref="J30:L30"/>
    <mergeCell ref="M30:O30"/>
    <mergeCell ref="P32:S32"/>
    <mergeCell ref="T32:U32"/>
    <mergeCell ref="V32:W32"/>
    <mergeCell ref="B33:C33"/>
    <mergeCell ref="D33:E33"/>
    <mergeCell ref="F33:I33"/>
    <mergeCell ref="J33:L33"/>
    <mergeCell ref="M33:O33"/>
    <mergeCell ref="P33:S33"/>
    <mergeCell ref="T33:U33"/>
    <mergeCell ref="V33:W33"/>
    <mergeCell ref="B32:C32"/>
    <mergeCell ref="D32:E32"/>
    <mergeCell ref="F32:I32"/>
    <mergeCell ref="J32:L32"/>
    <mergeCell ref="M32:O32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MJ3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0" sqref="J20"/>
    </sheetView>
  </sheetViews>
  <sheetFormatPr defaultColWidth="8.85546875" defaultRowHeight="15" x14ac:dyDescent="0.25"/>
  <cols>
    <col min="1" max="1" width="26.42578125" style="3" customWidth="1"/>
    <col min="2" max="23" width="7.28515625" style="3" customWidth="1"/>
    <col min="24" max="1024" width="8.85546875" style="3"/>
  </cols>
  <sheetData>
    <row r="1" spans="1:25" s="19" customFormat="1" x14ac:dyDescent="0.25">
      <c r="A1" s="209"/>
      <c r="B1" s="209" t="s">
        <v>0</v>
      </c>
      <c r="C1" s="209" t="s">
        <v>1</v>
      </c>
      <c r="D1" s="209" t="s">
        <v>2</v>
      </c>
      <c r="E1" s="209" t="s">
        <v>3</v>
      </c>
      <c r="F1" s="209" t="s">
        <v>4</v>
      </c>
      <c r="G1" s="209" t="s">
        <v>5</v>
      </c>
      <c r="H1" s="209" t="s">
        <v>243</v>
      </c>
      <c r="I1" s="209" t="s">
        <v>6</v>
      </c>
      <c r="J1" s="209" t="s">
        <v>7</v>
      </c>
      <c r="K1" s="209" t="s">
        <v>9</v>
      </c>
      <c r="L1" s="209" t="s">
        <v>314</v>
      </c>
      <c r="M1" s="209" t="s">
        <v>10</v>
      </c>
      <c r="N1" s="209" t="s">
        <v>11</v>
      </c>
      <c r="O1" s="209" t="s">
        <v>315</v>
      </c>
      <c r="P1" s="209" t="s">
        <v>14</v>
      </c>
      <c r="Q1" s="209" t="s">
        <v>15</v>
      </c>
      <c r="R1" s="209" t="s">
        <v>16</v>
      </c>
      <c r="S1" s="209" t="s">
        <v>101</v>
      </c>
      <c r="T1" s="209" t="s">
        <v>19</v>
      </c>
      <c r="U1" s="209" t="s">
        <v>20</v>
      </c>
      <c r="V1" s="209" t="s">
        <v>21</v>
      </c>
      <c r="W1" s="209" t="s">
        <v>102</v>
      </c>
    </row>
    <row r="2" spans="1:25" x14ac:dyDescent="0.25">
      <c r="A2" s="187" t="s">
        <v>342</v>
      </c>
      <c r="B2" s="187" t="s">
        <v>189</v>
      </c>
      <c r="C2" s="187" t="s">
        <v>189</v>
      </c>
      <c r="D2" s="187" t="s">
        <v>189</v>
      </c>
      <c r="E2" s="187" t="s">
        <v>189</v>
      </c>
      <c r="F2" s="187" t="s">
        <v>316</v>
      </c>
      <c r="G2" s="187" t="s">
        <v>316</v>
      </c>
      <c r="H2" s="187" t="s">
        <v>316</v>
      </c>
      <c r="I2" s="187" t="s">
        <v>316</v>
      </c>
      <c r="J2" s="187" t="s">
        <v>188</v>
      </c>
      <c r="K2" s="187" t="s">
        <v>188</v>
      </c>
      <c r="L2" s="187" t="s">
        <v>188</v>
      </c>
      <c r="M2" s="187" t="s">
        <v>193</v>
      </c>
      <c r="N2" s="187" t="s">
        <v>193</v>
      </c>
      <c r="O2" s="187" t="s">
        <v>193</v>
      </c>
      <c r="P2" s="187" t="s">
        <v>193</v>
      </c>
      <c r="Q2" s="187" t="s">
        <v>193</v>
      </c>
      <c r="R2" s="187" t="s">
        <v>193</v>
      </c>
      <c r="S2" s="187" t="s">
        <v>193</v>
      </c>
      <c r="T2" s="187" t="s">
        <v>190</v>
      </c>
      <c r="U2" s="187" t="s">
        <v>190</v>
      </c>
      <c r="V2" s="187" t="s">
        <v>193</v>
      </c>
      <c r="W2" s="187" t="s">
        <v>193</v>
      </c>
    </row>
    <row r="3" spans="1:25" s="38" customFormat="1" x14ac:dyDescent="0.25">
      <c r="A3" s="32" t="s">
        <v>25</v>
      </c>
      <c r="B3" s="32" t="s">
        <v>343</v>
      </c>
      <c r="C3" s="32" t="s">
        <v>343</v>
      </c>
      <c r="D3" s="32" t="s">
        <v>344</v>
      </c>
      <c r="E3" s="32" t="s">
        <v>344</v>
      </c>
      <c r="F3" s="32" t="s">
        <v>344</v>
      </c>
      <c r="G3" s="32"/>
      <c r="H3" s="32"/>
      <c r="I3" s="32"/>
      <c r="J3" s="32" t="s">
        <v>344</v>
      </c>
      <c r="K3" s="32"/>
      <c r="L3" s="32"/>
      <c r="M3" s="32" t="s">
        <v>344</v>
      </c>
      <c r="N3" s="32" t="s">
        <v>344</v>
      </c>
      <c r="O3" s="32" t="s">
        <v>344</v>
      </c>
      <c r="P3" s="32" t="s">
        <v>343</v>
      </c>
      <c r="Q3" s="32" t="s">
        <v>343</v>
      </c>
      <c r="R3" s="32" t="s">
        <v>343</v>
      </c>
      <c r="S3" s="32" t="s">
        <v>343</v>
      </c>
      <c r="T3" s="32" t="s">
        <v>344</v>
      </c>
      <c r="U3" s="32" t="s">
        <v>344</v>
      </c>
      <c r="V3" s="32"/>
      <c r="W3" s="32" t="s">
        <v>344</v>
      </c>
    </row>
    <row r="4" spans="1:25" s="38" customFormat="1" x14ac:dyDescent="0.25">
      <c r="A4" s="32" t="s">
        <v>31</v>
      </c>
      <c r="B4" s="32" t="s">
        <v>133</v>
      </c>
      <c r="C4" s="32" t="s">
        <v>133</v>
      </c>
      <c r="D4" s="32" t="s">
        <v>133</v>
      </c>
      <c r="E4" s="32" t="s">
        <v>133</v>
      </c>
      <c r="F4" s="32" t="s">
        <v>133</v>
      </c>
      <c r="G4" s="49" t="s">
        <v>114</v>
      </c>
      <c r="H4" s="49" t="s">
        <v>114</v>
      </c>
      <c r="I4" s="32" t="s">
        <v>345</v>
      </c>
      <c r="J4" s="32" t="s">
        <v>133</v>
      </c>
      <c r="K4" s="49" t="s">
        <v>346</v>
      </c>
      <c r="L4" s="49" t="s">
        <v>114</v>
      </c>
      <c r="M4" s="32" t="s">
        <v>133</v>
      </c>
      <c r="N4" s="32" t="s">
        <v>133</v>
      </c>
      <c r="O4" s="49" t="s">
        <v>347</v>
      </c>
      <c r="P4" s="32" t="s">
        <v>133</v>
      </c>
      <c r="Q4" s="32" t="s">
        <v>133</v>
      </c>
      <c r="R4" s="32" t="s">
        <v>133</v>
      </c>
      <c r="S4" s="32" t="s">
        <v>133</v>
      </c>
      <c r="T4" s="49" t="s">
        <v>348</v>
      </c>
      <c r="U4" s="32" t="s">
        <v>133</v>
      </c>
      <c r="V4" s="49" t="s">
        <v>114</v>
      </c>
      <c r="W4" s="32" t="s">
        <v>133</v>
      </c>
    </row>
    <row r="5" spans="1:25" x14ac:dyDescent="0.25">
      <c r="A5" s="187" t="s">
        <v>38</v>
      </c>
      <c r="B5" s="53">
        <v>2012</v>
      </c>
      <c r="C5" s="53">
        <v>2012</v>
      </c>
      <c r="D5" s="53">
        <v>2008</v>
      </c>
      <c r="E5" s="53">
        <v>2008</v>
      </c>
      <c r="F5" s="53">
        <v>2009</v>
      </c>
      <c r="G5" s="127">
        <v>2010</v>
      </c>
      <c r="H5" s="127">
        <v>2009</v>
      </c>
      <c r="I5" s="53"/>
      <c r="J5" s="53">
        <v>2009</v>
      </c>
      <c r="K5" s="127">
        <v>2008</v>
      </c>
      <c r="L5" s="127">
        <v>2012</v>
      </c>
      <c r="M5" s="131">
        <v>2009</v>
      </c>
      <c r="N5" s="53">
        <v>2009</v>
      </c>
      <c r="O5" s="127">
        <v>2010</v>
      </c>
      <c r="P5" s="53">
        <v>2011</v>
      </c>
      <c r="Q5" s="53">
        <v>2008</v>
      </c>
      <c r="R5" s="53">
        <v>2008</v>
      </c>
      <c r="S5" s="53">
        <v>2009</v>
      </c>
      <c r="T5" s="131">
        <v>2009</v>
      </c>
      <c r="U5" s="53">
        <v>2009</v>
      </c>
      <c r="V5" s="127">
        <v>2011</v>
      </c>
      <c r="W5" s="53">
        <v>2011</v>
      </c>
      <c r="Y5" s="211" t="s">
        <v>349</v>
      </c>
    </row>
    <row r="6" spans="1:25" x14ac:dyDescent="0.25">
      <c r="A6" s="187" t="s">
        <v>41</v>
      </c>
      <c r="B6" s="53">
        <v>2012</v>
      </c>
      <c r="C6" s="53">
        <v>2012</v>
      </c>
      <c r="D6" s="53">
        <v>2008</v>
      </c>
      <c r="E6" s="53">
        <v>2008</v>
      </c>
      <c r="F6" s="53">
        <v>2009</v>
      </c>
      <c r="G6" s="127">
        <v>2010</v>
      </c>
      <c r="H6" s="127">
        <v>2009</v>
      </c>
      <c r="I6" s="53"/>
      <c r="J6" s="53">
        <v>2009</v>
      </c>
      <c r="K6" s="127">
        <v>2008</v>
      </c>
      <c r="L6" s="127">
        <v>2012</v>
      </c>
      <c r="M6" s="53">
        <v>2009</v>
      </c>
      <c r="N6" s="53">
        <v>2009</v>
      </c>
      <c r="O6" s="127">
        <v>2010</v>
      </c>
      <c r="P6" s="53">
        <v>2011</v>
      </c>
      <c r="Q6" s="53">
        <v>2008</v>
      </c>
      <c r="R6" s="53">
        <v>2008</v>
      </c>
      <c r="S6" s="53">
        <v>2009</v>
      </c>
      <c r="T6" s="131">
        <v>2009</v>
      </c>
      <c r="U6" s="53">
        <v>2009</v>
      </c>
      <c r="V6" s="127">
        <v>2010</v>
      </c>
      <c r="W6" s="53">
        <v>2010</v>
      </c>
      <c r="Y6" s="3" t="s">
        <v>42</v>
      </c>
    </row>
    <row r="7" spans="1:25" x14ac:dyDescent="0.25">
      <c r="A7" s="187" t="s">
        <v>43</v>
      </c>
      <c r="B7" s="53">
        <v>2012</v>
      </c>
      <c r="C7" s="53">
        <v>2012</v>
      </c>
      <c r="D7" s="53">
        <v>2012</v>
      </c>
      <c r="E7" s="53">
        <v>2012</v>
      </c>
      <c r="F7" s="53">
        <v>2009</v>
      </c>
      <c r="G7" s="127">
        <v>2010</v>
      </c>
      <c r="H7" s="127">
        <v>2009</v>
      </c>
      <c r="I7" s="53"/>
      <c r="J7" s="53">
        <v>2010</v>
      </c>
      <c r="K7" s="127">
        <v>2012</v>
      </c>
      <c r="L7" s="127">
        <v>2012</v>
      </c>
      <c r="M7" s="53">
        <v>2011</v>
      </c>
      <c r="N7" s="53">
        <v>2012</v>
      </c>
      <c r="O7" s="127">
        <v>2010</v>
      </c>
      <c r="P7" s="53">
        <v>2011</v>
      </c>
      <c r="Q7" s="53">
        <v>2012</v>
      </c>
      <c r="R7" s="53">
        <v>2008</v>
      </c>
      <c r="S7" s="53">
        <v>2009</v>
      </c>
      <c r="T7" s="131">
        <v>2012</v>
      </c>
      <c r="U7" s="53">
        <v>2012</v>
      </c>
      <c r="V7" s="127">
        <v>2010</v>
      </c>
      <c r="W7" s="53">
        <v>2010</v>
      </c>
      <c r="Y7" s="3" t="s">
        <v>42</v>
      </c>
    </row>
    <row r="8" spans="1:25" x14ac:dyDescent="0.25">
      <c r="A8" s="187" t="s">
        <v>44</v>
      </c>
      <c r="B8" s="53">
        <v>2012</v>
      </c>
      <c r="C8" s="53">
        <v>2012</v>
      </c>
      <c r="D8" s="53">
        <v>2012</v>
      </c>
      <c r="E8" s="53">
        <v>2012</v>
      </c>
      <c r="F8" s="71">
        <v>2012</v>
      </c>
      <c r="G8" s="127">
        <v>2011</v>
      </c>
      <c r="H8" s="71">
        <v>2012</v>
      </c>
      <c r="I8" s="53"/>
      <c r="J8" s="71">
        <v>2011</v>
      </c>
      <c r="K8" s="71">
        <v>2012</v>
      </c>
      <c r="L8" s="71">
        <v>2012</v>
      </c>
      <c r="M8" s="71">
        <v>2012</v>
      </c>
      <c r="N8" s="71">
        <v>2012</v>
      </c>
      <c r="O8" s="71">
        <v>2012</v>
      </c>
      <c r="P8" s="71">
        <v>2012</v>
      </c>
      <c r="Q8" s="71">
        <v>2012</v>
      </c>
      <c r="R8" s="71">
        <v>2012</v>
      </c>
      <c r="S8" s="71">
        <v>2012</v>
      </c>
      <c r="T8" s="131">
        <v>2012</v>
      </c>
      <c r="U8" s="71">
        <v>2012</v>
      </c>
      <c r="V8" s="127">
        <v>2012</v>
      </c>
      <c r="W8" s="53">
        <v>2012</v>
      </c>
      <c r="Y8" s="3" t="s">
        <v>45</v>
      </c>
    </row>
    <row r="9" spans="1:25" x14ac:dyDescent="0.25">
      <c r="A9" s="187" t="s">
        <v>46</v>
      </c>
      <c r="B9" s="53">
        <v>2012</v>
      </c>
      <c r="C9" s="53">
        <v>2012</v>
      </c>
      <c r="D9" s="53">
        <v>2012</v>
      </c>
      <c r="E9" s="53">
        <v>2012</v>
      </c>
      <c r="F9" s="53">
        <v>2011</v>
      </c>
      <c r="G9" s="131">
        <v>2010</v>
      </c>
      <c r="H9" s="127">
        <v>2011</v>
      </c>
      <c r="I9" s="53"/>
      <c r="J9" s="65" t="s">
        <v>350</v>
      </c>
      <c r="K9" s="131">
        <v>2012</v>
      </c>
      <c r="L9" s="127">
        <v>2012</v>
      </c>
      <c r="M9" s="65">
        <v>2011</v>
      </c>
      <c r="N9" s="65" t="s">
        <v>351</v>
      </c>
      <c r="O9" s="127">
        <v>2010</v>
      </c>
      <c r="P9" s="53">
        <v>2011</v>
      </c>
      <c r="Q9" s="53">
        <v>2012</v>
      </c>
      <c r="R9" s="53">
        <v>2008</v>
      </c>
      <c r="S9" s="131" t="s">
        <v>352</v>
      </c>
      <c r="T9" s="131">
        <v>2012</v>
      </c>
      <c r="U9" s="53">
        <v>2012</v>
      </c>
      <c r="V9" s="127">
        <v>2010</v>
      </c>
      <c r="W9" s="127">
        <v>2010</v>
      </c>
      <c r="Y9" s="3" t="s">
        <v>42</v>
      </c>
    </row>
    <row r="10" spans="1:25" x14ac:dyDescent="0.25">
      <c r="A10" s="187" t="s">
        <v>50</v>
      </c>
      <c r="B10" s="53">
        <v>2012</v>
      </c>
      <c r="C10" s="53">
        <v>2012</v>
      </c>
      <c r="D10" s="53">
        <v>2010</v>
      </c>
      <c r="E10" s="53">
        <v>2012</v>
      </c>
      <c r="F10" s="53">
        <v>2011</v>
      </c>
      <c r="G10" s="131">
        <v>2011</v>
      </c>
      <c r="H10" s="127">
        <v>2011</v>
      </c>
      <c r="I10" s="53"/>
      <c r="J10" s="53">
        <v>2012</v>
      </c>
      <c r="K10" s="131">
        <v>2012</v>
      </c>
      <c r="L10" s="127">
        <v>2012</v>
      </c>
      <c r="M10" s="65">
        <v>2011</v>
      </c>
      <c r="N10" s="53">
        <v>2011</v>
      </c>
      <c r="O10" s="127">
        <v>2011</v>
      </c>
      <c r="P10" s="53">
        <v>2011</v>
      </c>
      <c r="Q10" s="53">
        <v>2012</v>
      </c>
      <c r="R10" s="53">
        <v>2012</v>
      </c>
      <c r="S10" s="53">
        <v>2012</v>
      </c>
      <c r="T10" s="131" t="s">
        <v>353</v>
      </c>
      <c r="U10" s="53" t="s">
        <v>353</v>
      </c>
      <c r="V10" s="127">
        <v>2010</v>
      </c>
      <c r="W10" s="53">
        <v>2010</v>
      </c>
      <c r="Y10" s="3" t="s">
        <v>51</v>
      </c>
    </row>
    <row r="11" spans="1:25" x14ac:dyDescent="0.25">
      <c r="A11" s="187" t="s">
        <v>52</v>
      </c>
      <c r="B11" s="53">
        <v>2012</v>
      </c>
      <c r="C11" s="53">
        <v>2012</v>
      </c>
      <c r="D11" s="53">
        <v>2012</v>
      </c>
      <c r="E11" s="53">
        <v>2012</v>
      </c>
      <c r="F11" s="53">
        <v>2012</v>
      </c>
      <c r="G11" s="131">
        <v>2012</v>
      </c>
      <c r="H11" s="127">
        <v>2012</v>
      </c>
      <c r="I11" s="53"/>
      <c r="J11" s="53">
        <v>2011</v>
      </c>
      <c r="K11" s="131">
        <v>2011</v>
      </c>
      <c r="L11" s="127">
        <v>2012</v>
      </c>
      <c r="M11" s="65">
        <v>2011</v>
      </c>
      <c r="N11" s="53">
        <v>2011</v>
      </c>
      <c r="O11" s="127">
        <v>2010</v>
      </c>
      <c r="P11" s="53">
        <v>2011</v>
      </c>
      <c r="Q11" s="53">
        <v>2012</v>
      </c>
      <c r="R11" s="53">
        <v>2012</v>
      </c>
      <c r="S11" s="53">
        <v>2012</v>
      </c>
      <c r="T11" s="131">
        <v>2009</v>
      </c>
      <c r="U11" s="71">
        <v>2009</v>
      </c>
      <c r="V11" s="127">
        <v>2010</v>
      </c>
      <c r="W11" s="53">
        <v>2010</v>
      </c>
      <c r="Y11" s="3" t="s">
        <v>51</v>
      </c>
    </row>
    <row r="12" spans="1:25" x14ac:dyDescent="0.25">
      <c r="A12" s="187" t="s">
        <v>54</v>
      </c>
      <c r="B12" s="53">
        <v>2012</v>
      </c>
      <c r="C12" s="53">
        <v>2012</v>
      </c>
      <c r="D12" s="53">
        <v>2012</v>
      </c>
      <c r="E12" s="53">
        <v>2012</v>
      </c>
      <c r="F12" s="71">
        <v>2012</v>
      </c>
      <c r="G12" s="131">
        <v>2010</v>
      </c>
      <c r="H12" s="71">
        <v>2012</v>
      </c>
      <c r="I12" s="53"/>
      <c r="J12" s="71">
        <v>2010</v>
      </c>
      <c r="K12" s="131">
        <v>2010</v>
      </c>
      <c r="L12" s="71">
        <v>2012</v>
      </c>
      <c r="M12" s="65">
        <v>2009</v>
      </c>
      <c r="N12" s="53">
        <v>2007</v>
      </c>
      <c r="O12" s="127">
        <v>2011</v>
      </c>
      <c r="P12" s="71">
        <v>2012</v>
      </c>
      <c r="Q12" s="71">
        <v>2012</v>
      </c>
      <c r="R12" s="71">
        <v>2008</v>
      </c>
      <c r="S12" s="71">
        <v>2010</v>
      </c>
      <c r="T12" s="131">
        <v>2012</v>
      </c>
      <c r="U12" s="65">
        <v>2012</v>
      </c>
      <c r="V12" s="127">
        <v>2010</v>
      </c>
      <c r="W12" s="53">
        <v>2010</v>
      </c>
      <c r="Y12" s="3" t="s">
        <v>55</v>
      </c>
    </row>
    <row r="13" spans="1:25" x14ac:dyDescent="0.25">
      <c r="A13" s="187" t="s">
        <v>56</v>
      </c>
      <c r="B13" s="53">
        <v>2012</v>
      </c>
      <c r="C13" s="53">
        <v>2012</v>
      </c>
      <c r="D13" s="53">
        <v>2012</v>
      </c>
      <c r="E13" s="53">
        <v>2012</v>
      </c>
      <c r="F13" s="71">
        <v>2012</v>
      </c>
      <c r="G13" s="131">
        <v>2012</v>
      </c>
      <c r="H13" s="71">
        <v>2010</v>
      </c>
      <c r="I13" s="53"/>
      <c r="J13" s="71">
        <v>2010</v>
      </c>
      <c r="K13" s="131">
        <v>2010</v>
      </c>
      <c r="L13" s="71">
        <v>2012</v>
      </c>
      <c r="M13" s="53">
        <v>2011</v>
      </c>
      <c r="N13" s="53">
        <v>2011</v>
      </c>
      <c r="O13" s="127">
        <v>2010</v>
      </c>
      <c r="P13" s="53"/>
      <c r="Q13" s="65">
        <v>2012</v>
      </c>
      <c r="R13" s="65">
        <v>2012</v>
      </c>
      <c r="S13" s="71">
        <v>2009</v>
      </c>
      <c r="T13" s="131">
        <v>2012</v>
      </c>
      <c r="U13" s="131" t="s">
        <v>354</v>
      </c>
      <c r="V13" s="127">
        <v>2010</v>
      </c>
      <c r="W13" s="127">
        <v>2010</v>
      </c>
      <c r="Y13" s="3" t="s">
        <v>55</v>
      </c>
    </row>
    <row r="14" spans="1:25" x14ac:dyDescent="0.25">
      <c r="A14" s="187" t="s">
        <v>57</v>
      </c>
      <c r="B14" s="53">
        <v>2012</v>
      </c>
      <c r="C14" s="53">
        <v>2012</v>
      </c>
      <c r="D14" s="88" t="s">
        <v>327</v>
      </c>
      <c r="E14" s="53">
        <v>2012</v>
      </c>
      <c r="F14" s="53">
        <v>2012</v>
      </c>
      <c r="G14" s="211">
        <v>2012</v>
      </c>
      <c r="H14" s="127">
        <v>2012</v>
      </c>
      <c r="I14" s="53"/>
      <c r="J14" s="53">
        <v>2011</v>
      </c>
      <c r="K14" s="127">
        <v>2012</v>
      </c>
      <c r="L14" s="127">
        <v>2012</v>
      </c>
      <c r="M14" s="53">
        <v>2012</v>
      </c>
      <c r="N14" s="53">
        <v>2010</v>
      </c>
      <c r="O14" s="127" t="s">
        <v>355</v>
      </c>
      <c r="P14" s="53"/>
      <c r="Q14" s="53">
        <v>2012</v>
      </c>
      <c r="R14" s="53">
        <v>2012</v>
      </c>
      <c r="S14" s="53"/>
      <c r="T14" s="131">
        <v>2009</v>
      </c>
      <c r="U14" s="53">
        <v>2009</v>
      </c>
      <c r="V14" s="127">
        <v>2010</v>
      </c>
      <c r="W14" s="53">
        <v>2010</v>
      </c>
      <c r="Y14" s="3" t="s">
        <v>281</v>
      </c>
    </row>
    <row r="15" spans="1:25" x14ac:dyDescent="0.25">
      <c r="A15" s="187" t="s">
        <v>69</v>
      </c>
      <c r="B15" s="53">
        <v>2012</v>
      </c>
      <c r="C15" s="53">
        <v>2012</v>
      </c>
      <c r="D15" s="88" t="s">
        <v>225</v>
      </c>
      <c r="E15" s="53">
        <v>2012</v>
      </c>
      <c r="F15" s="71">
        <v>2012</v>
      </c>
      <c r="G15" s="131">
        <v>2012</v>
      </c>
      <c r="H15" s="71">
        <v>2010</v>
      </c>
      <c r="I15" s="53"/>
      <c r="J15" s="71">
        <v>2011</v>
      </c>
      <c r="K15" s="131" t="s">
        <v>356</v>
      </c>
      <c r="L15" s="127">
        <v>2012</v>
      </c>
      <c r="M15" s="65">
        <v>2012</v>
      </c>
      <c r="N15" s="65" t="s">
        <v>355</v>
      </c>
      <c r="O15" s="65" t="s">
        <v>355</v>
      </c>
      <c r="P15" s="53"/>
      <c r="Q15" s="53">
        <v>2012</v>
      </c>
      <c r="R15" s="71">
        <v>2012</v>
      </c>
      <c r="S15" s="71">
        <v>2009</v>
      </c>
      <c r="T15" s="131">
        <v>2012</v>
      </c>
      <c r="U15" s="71">
        <v>2012</v>
      </c>
      <c r="V15" s="127">
        <v>2010</v>
      </c>
      <c r="W15" s="53">
        <v>2010</v>
      </c>
      <c r="Y15" s="3" t="s">
        <v>70</v>
      </c>
    </row>
    <row r="16" spans="1:25" x14ac:dyDescent="0.25">
      <c r="A16" s="187" t="s">
        <v>145</v>
      </c>
      <c r="B16" s="127">
        <v>2012</v>
      </c>
      <c r="C16" s="53">
        <v>2012</v>
      </c>
      <c r="D16" s="53">
        <v>2008</v>
      </c>
      <c r="E16" s="53">
        <v>2010</v>
      </c>
      <c r="F16" s="65">
        <v>2012</v>
      </c>
      <c r="G16" s="131">
        <v>2012</v>
      </c>
      <c r="H16" s="127">
        <v>2012</v>
      </c>
      <c r="I16" s="53"/>
      <c r="J16" s="53">
        <v>2009</v>
      </c>
      <c r="K16" s="131">
        <v>2012</v>
      </c>
      <c r="L16" s="127">
        <v>2012</v>
      </c>
      <c r="M16" s="65">
        <v>2012</v>
      </c>
      <c r="N16" s="53">
        <v>2009</v>
      </c>
      <c r="O16" s="127">
        <v>2010</v>
      </c>
      <c r="P16" s="53"/>
      <c r="Q16" s="53">
        <v>2008</v>
      </c>
      <c r="R16" s="65">
        <v>2012</v>
      </c>
      <c r="S16" s="131">
        <v>2012</v>
      </c>
      <c r="T16" s="131">
        <v>2009</v>
      </c>
      <c r="U16" s="53">
        <v>2009</v>
      </c>
      <c r="V16" s="127">
        <v>2010</v>
      </c>
      <c r="W16" s="65">
        <v>2010</v>
      </c>
      <c r="Y16" s="3" t="s">
        <v>42</v>
      </c>
    </row>
    <row r="17" spans="1:25" x14ac:dyDescent="0.25">
      <c r="A17" s="187" t="s">
        <v>71</v>
      </c>
      <c r="B17" s="53">
        <v>2008</v>
      </c>
      <c r="C17" s="53">
        <v>2008</v>
      </c>
      <c r="D17" s="53">
        <v>2008</v>
      </c>
      <c r="E17" s="127">
        <v>2008</v>
      </c>
      <c r="F17" s="53">
        <v>2012</v>
      </c>
      <c r="G17" s="131">
        <v>2012</v>
      </c>
      <c r="H17" s="127">
        <v>2012</v>
      </c>
      <c r="I17" s="53"/>
      <c r="J17" s="53">
        <v>2009</v>
      </c>
      <c r="K17" s="131">
        <v>2010</v>
      </c>
      <c r="L17" s="65" t="s">
        <v>328</v>
      </c>
      <c r="M17" s="53">
        <v>2009</v>
      </c>
      <c r="N17" s="53">
        <v>2009</v>
      </c>
      <c r="O17" s="127">
        <v>2010</v>
      </c>
      <c r="P17" s="53"/>
      <c r="Q17" s="53">
        <v>2012</v>
      </c>
      <c r="R17" s="65">
        <v>2008</v>
      </c>
      <c r="S17" s="65">
        <v>2009</v>
      </c>
      <c r="T17" s="131">
        <v>2009</v>
      </c>
      <c r="U17" s="53">
        <v>2009</v>
      </c>
      <c r="V17" s="127">
        <v>2010</v>
      </c>
      <c r="W17" s="65">
        <v>2010</v>
      </c>
      <c r="Y17" s="3" t="s">
        <v>42</v>
      </c>
    </row>
    <row r="18" spans="1:25" x14ac:dyDescent="0.25">
      <c r="A18" s="187" t="s">
        <v>72</v>
      </c>
      <c r="B18" s="53">
        <v>2008</v>
      </c>
      <c r="C18" s="53">
        <v>2008</v>
      </c>
      <c r="D18" s="53">
        <v>2008</v>
      </c>
      <c r="E18" s="53">
        <v>2008</v>
      </c>
      <c r="F18" s="53">
        <v>2009</v>
      </c>
      <c r="G18" s="65" t="s">
        <v>357</v>
      </c>
      <c r="H18" s="65" t="s">
        <v>357</v>
      </c>
      <c r="I18" s="53"/>
      <c r="J18" s="53">
        <v>2009</v>
      </c>
      <c r="K18" s="131" t="s">
        <v>358</v>
      </c>
      <c r="L18" s="65" t="s">
        <v>328</v>
      </c>
      <c r="M18" s="53">
        <v>2009</v>
      </c>
      <c r="N18" s="53">
        <v>2009</v>
      </c>
      <c r="O18" s="127">
        <v>2010</v>
      </c>
      <c r="P18" s="53">
        <v>2011</v>
      </c>
      <c r="Q18" s="53">
        <v>2008</v>
      </c>
      <c r="R18" s="53">
        <v>2008</v>
      </c>
      <c r="S18" s="53">
        <v>2009</v>
      </c>
      <c r="T18" s="131">
        <v>2009</v>
      </c>
      <c r="U18" s="53">
        <v>2009</v>
      </c>
      <c r="V18" s="65" t="s">
        <v>328</v>
      </c>
      <c r="W18" s="53">
        <v>2012</v>
      </c>
      <c r="Y18" s="3" t="s">
        <v>42</v>
      </c>
    </row>
    <row r="19" spans="1:25" x14ac:dyDescent="0.25">
      <c r="A19" s="187" t="s">
        <v>74</v>
      </c>
      <c r="B19" s="53">
        <v>2012</v>
      </c>
      <c r="C19" s="53">
        <v>2012</v>
      </c>
      <c r="D19" s="53">
        <v>2008</v>
      </c>
      <c r="E19" s="53">
        <v>2008</v>
      </c>
      <c r="F19" s="53">
        <v>2009</v>
      </c>
      <c r="G19" s="131" t="s">
        <v>359</v>
      </c>
      <c r="H19" s="127" t="s">
        <v>359</v>
      </c>
      <c r="I19" s="53"/>
      <c r="J19" s="53">
        <v>2009</v>
      </c>
      <c r="K19" s="131" t="s">
        <v>358</v>
      </c>
      <c r="L19" s="65" t="s">
        <v>328</v>
      </c>
      <c r="M19" s="65">
        <v>2009</v>
      </c>
      <c r="N19" s="53">
        <v>2009</v>
      </c>
      <c r="O19" s="127">
        <v>2010</v>
      </c>
      <c r="P19" s="53">
        <v>2011</v>
      </c>
      <c r="Q19" s="131">
        <v>2008</v>
      </c>
      <c r="R19" s="53">
        <v>2008</v>
      </c>
      <c r="S19" s="53">
        <v>2009</v>
      </c>
      <c r="T19" s="131">
        <v>2009</v>
      </c>
      <c r="U19" s="53">
        <v>2009</v>
      </c>
      <c r="V19" s="127">
        <v>2010</v>
      </c>
      <c r="W19" s="53">
        <v>2010</v>
      </c>
      <c r="Y19" s="3" t="s">
        <v>42</v>
      </c>
    </row>
    <row r="20" spans="1:25" x14ac:dyDescent="0.25">
      <c r="A20" s="187" t="s">
        <v>75</v>
      </c>
      <c r="B20" s="53">
        <v>2012</v>
      </c>
      <c r="C20" s="53">
        <v>2012</v>
      </c>
      <c r="D20" s="53">
        <v>2012</v>
      </c>
      <c r="E20" s="53">
        <v>2012</v>
      </c>
      <c r="F20" s="53"/>
      <c r="G20" s="127"/>
      <c r="H20" s="127"/>
      <c r="I20" s="53"/>
      <c r="J20" s="53"/>
      <c r="K20" s="131"/>
      <c r="L20" s="127"/>
      <c r="M20" s="53" t="s">
        <v>37</v>
      </c>
      <c r="N20" s="53" t="s">
        <v>37</v>
      </c>
      <c r="O20" s="127" t="s">
        <v>37</v>
      </c>
      <c r="P20" s="53">
        <v>2011</v>
      </c>
      <c r="Q20" s="53">
        <v>2008</v>
      </c>
      <c r="R20" s="53">
        <v>2008</v>
      </c>
      <c r="S20" s="53">
        <v>2009</v>
      </c>
      <c r="T20" s="131"/>
      <c r="U20" s="53"/>
      <c r="V20" s="127">
        <v>2010</v>
      </c>
      <c r="W20" s="53" t="s">
        <v>360</v>
      </c>
      <c r="Y20" s="3" t="s">
        <v>329</v>
      </c>
    </row>
    <row r="21" spans="1:25" x14ac:dyDescent="0.25">
      <c r="A21" s="187" t="s">
        <v>78</v>
      </c>
      <c r="B21" s="53">
        <v>2012</v>
      </c>
      <c r="C21" s="53">
        <v>2012</v>
      </c>
      <c r="D21" s="53">
        <v>2008</v>
      </c>
      <c r="E21" s="53">
        <v>2010</v>
      </c>
      <c r="F21" s="53">
        <v>2009</v>
      </c>
      <c r="G21" s="131">
        <v>2010</v>
      </c>
      <c r="H21" s="127">
        <v>2011</v>
      </c>
      <c r="I21" s="53"/>
      <c r="J21" s="53">
        <v>2010</v>
      </c>
      <c r="K21" s="131">
        <v>2008</v>
      </c>
      <c r="L21" s="127">
        <v>2012</v>
      </c>
      <c r="M21" s="131" t="s">
        <v>37</v>
      </c>
      <c r="N21" s="53" t="s">
        <v>37</v>
      </c>
      <c r="O21" s="127">
        <v>2010</v>
      </c>
      <c r="P21" s="53">
        <v>2011</v>
      </c>
      <c r="Q21" s="53">
        <v>2008</v>
      </c>
      <c r="R21" s="53">
        <v>2008</v>
      </c>
      <c r="S21" s="53">
        <v>2009</v>
      </c>
      <c r="T21" s="131">
        <v>2009</v>
      </c>
      <c r="U21" s="53">
        <v>2009</v>
      </c>
      <c r="V21" s="127">
        <v>2010</v>
      </c>
      <c r="W21" s="53">
        <v>2010</v>
      </c>
      <c r="Y21" s="3" t="s">
        <v>42</v>
      </c>
    </row>
    <row r="22" spans="1:25" x14ac:dyDescent="0.25">
      <c r="A22" s="187" t="s">
        <v>293</v>
      </c>
      <c r="B22" s="53"/>
      <c r="C22" s="53"/>
      <c r="D22" s="53"/>
      <c r="E22" s="53"/>
      <c r="F22" s="53"/>
      <c r="G22" s="53">
        <v>1</v>
      </c>
      <c r="H22" s="53"/>
      <c r="I22" s="53"/>
      <c r="J22" s="53"/>
      <c r="K22" s="53">
        <v>1</v>
      </c>
      <c r="L22" s="53"/>
      <c r="M22" s="53">
        <v>1</v>
      </c>
      <c r="N22" s="53"/>
      <c r="O22" s="53"/>
      <c r="P22" s="53"/>
      <c r="Q22" s="53">
        <v>1</v>
      </c>
      <c r="R22" s="53"/>
      <c r="S22" s="53">
        <v>1</v>
      </c>
      <c r="T22" s="53"/>
      <c r="U22" s="53"/>
      <c r="V22" s="53"/>
      <c r="W22" s="53"/>
    </row>
    <row r="23" spans="1:25" x14ac:dyDescent="0.25">
      <c r="A23" s="187" t="s">
        <v>80</v>
      </c>
      <c r="B23" s="53"/>
      <c r="C23" s="53"/>
      <c r="D23" s="53"/>
      <c r="E23" s="53"/>
      <c r="F23" s="53"/>
      <c r="G23" s="53">
        <v>1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>
        <v>1</v>
      </c>
      <c r="S23" s="53"/>
      <c r="T23" s="53"/>
      <c r="U23" s="53"/>
      <c r="V23" s="53"/>
      <c r="W23" s="53"/>
    </row>
    <row r="24" spans="1:25" x14ac:dyDescent="0.25">
      <c r="A24" s="187" t="s">
        <v>294</v>
      </c>
      <c r="B24" s="53"/>
      <c r="C24" s="53"/>
      <c r="D24" s="53"/>
      <c r="E24" s="53"/>
      <c r="F24" s="53"/>
      <c r="G24" s="53"/>
      <c r="H24" s="53"/>
      <c r="I24" s="53"/>
      <c r="J24" s="53" t="s">
        <v>361</v>
      </c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131" t="s">
        <v>326</v>
      </c>
      <c r="W24" s="53"/>
      <c r="Y24" s="3" t="s">
        <v>42</v>
      </c>
    </row>
    <row r="25" spans="1:25" x14ac:dyDescent="0.25">
      <c r="A25" s="187" t="s">
        <v>167</v>
      </c>
      <c r="B25" s="88">
        <v>0</v>
      </c>
      <c r="C25" s="88">
        <v>0</v>
      </c>
      <c r="D25" s="88">
        <v>0</v>
      </c>
      <c r="E25" s="88">
        <v>0</v>
      </c>
      <c r="F25" s="88">
        <v>14</v>
      </c>
      <c r="G25" s="88">
        <v>14</v>
      </c>
      <c r="H25" s="88">
        <v>14</v>
      </c>
      <c r="I25" s="88">
        <v>14</v>
      </c>
      <c r="J25" s="88">
        <v>14</v>
      </c>
      <c r="K25" s="88">
        <v>14</v>
      </c>
      <c r="L25" s="88">
        <v>14</v>
      </c>
      <c r="M25" s="88">
        <v>14</v>
      </c>
      <c r="N25" s="88">
        <v>14</v>
      </c>
      <c r="O25" s="88">
        <v>14</v>
      </c>
      <c r="P25" s="88">
        <v>0</v>
      </c>
      <c r="Q25" s="88">
        <v>0</v>
      </c>
      <c r="R25" s="88">
        <v>14</v>
      </c>
      <c r="S25" s="88">
        <v>5</v>
      </c>
      <c r="T25" s="88">
        <v>14</v>
      </c>
      <c r="U25" s="88">
        <v>14</v>
      </c>
      <c r="V25" s="88">
        <v>0</v>
      </c>
      <c r="W25" s="88">
        <v>0</v>
      </c>
    </row>
    <row r="26" spans="1:25" x14ac:dyDescent="0.25">
      <c r="A26" s="187" t="s">
        <v>83</v>
      </c>
      <c r="B26" s="88" t="s">
        <v>37</v>
      </c>
      <c r="C26" s="88" t="s">
        <v>37</v>
      </c>
      <c r="D26" s="88" t="s">
        <v>37</v>
      </c>
      <c r="E26" s="88" t="s">
        <v>37</v>
      </c>
      <c r="F26" s="88" t="s">
        <v>37</v>
      </c>
      <c r="G26" s="88" t="s">
        <v>37</v>
      </c>
      <c r="H26" s="88" t="s">
        <v>37</v>
      </c>
      <c r="I26" s="88" t="s">
        <v>37</v>
      </c>
      <c r="J26" s="88"/>
      <c r="K26" s="88"/>
      <c r="L26" s="88"/>
      <c r="M26" s="88">
        <v>8</v>
      </c>
      <c r="N26" s="88">
        <v>0</v>
      </c>
      <c r="O26" s="88">
        <v>8</v>
      </c>
      <c r="P26" s="88">
        <v>0</v>
      </c>
      <c r="Q26" s="88">
        <v>0</v>
      </c>
      <c r="R26" s="88">
        <v>2</v>
      </c>
      <c r="S26" s="88">
        <v>2</v>
      </c>
      <c r="T26" s="88"/>
      <c r="U26" s="88"/>
      <c r="V26" s="88" t="s">
        <v>37</v>
      </c>
      <c r="W26" s="88" t="s">
        <v>37</v>
      </c>
    </row>
    <row r="27" spans="1:25" x14ac:dyDescent="0.25">
      <c r="A27" s="187" t="s">
        <v>84</v>
      </c>
      <c r="B27" s="318">
        <v>0</v>
      </c>
      <c r="C27" s="318"/>
      <c r="D27" s="318">
        <v>0</v>
      </c>
      <c r="E27" s="318"/>
      <c r="F27" s="318" t="s">
        <v>362</v>
      </c>
      <c r="G27" s="318"/>
      <c r="H27" s="318"/>
      <c r="I27" s="318"/>
      <c r="J27" s="318" t="s">
        <v>37</v>
      </c>
      <c r="K27" s="318"/>
      <c r="L27" s="318"/>
      <c r="M27" s="318">
        <v>22</v>
      </c>
      <c r="N27" s="318"/>
      <c r="O27" s="318"/>
      <c r="P27" s="318">
        <v>26</v>
      </c>
      <c r="Q27" s="318"/>
      <c r="R27" s="318"/>
      <c r="S27" s="318"/>
      <c r="T27" s="322" t="s">
        <v>363</v>
      </c>
      <c r="U27" s="322"/>
      <c r="V27" s="318">
        <v>3</v>
      </c>
      <c r="W27" s="318"/>
    </row>
    <row r="28" spans="1:25" x14ac:dyDescent="0.25">
      <c r="A28" s="187" t="s">
        <v>85</v>
      </c>
      <c r="B28" s="318">
        <v>0</v>
      </c>
      <c r="C28" s="318"/>
      <c r="D28" s="318">
        <v>0</v>
      </c>
      <c r="E28" s="318"/>
      <c r="F28" s="318">
        <v>0</v>
      </c>
      <c r="G28" s="318"/>
      <c r="H28" s="318"/>
      <c r="I28" s="318"/>
      <c r="J28" s="318">
        <v>30</v>
      </c>
      <c r="K28" s="318"/>
      <c r="L28" s="318"/>
      <c r="M28" s="318">
        <v>7</v>
      </c>
      <c r="N28" s="318"/>
      <c r="O28" s="318"/>
      <c r="P28" s="318">
        <v>0</v>
      </c>
      <c r="Q28" s="318"/>
      <c r="R28" s="318"/>
      <c r="S28" s="318"/>
      <c r="T28" s="322" t="s">
        <v>364</v>
      </c>
      <c r="U28" s="322"/>
      <c r="V28" s="318">
        <v>0</v>
      </c>
      <c r="W28" s="318"/>
    </row>
    <row r="29" spans="1:25" x14ac:dyDescent="0.25">
      <c r="A29" s="187" t="s">
        <v>86</v>
      </c>
      <c r="B29" s="318" t="s">
        <v>90</v>
      </c>
      <c r="C29" s="318"/>
      <c r="D29" s="318" t="s">
        <v>90</v>
      </c>
      <c r="E29" s="318"/>
      <c r="F29" s="318" t="s">
        <v>88</v>
      </c>
      <c r="G29" s="318"/>
      <c r="H29" s="318"/>
      <c r="I29" s="318"/>
      <c r="J29" s="322" t="s">
        <v>365</v>
      </c>
      <c r="K29" s="322"/>
      <c r="L29" s="322"/>
      <c r="M29" s="318" t="s">
        <v>88</v>
      </c>
      <c r="N29" s="318"/>
      <c r="O29" s="318"/>
      <c r="P29" s="318" t="s">
        <v>88</v>
      </c>
      <c r="Q29" s="318"/>
      <c r="R29" s="318"/>
      <c r="S29" s="318"/>
      <c r="T29" s="318" t="s">
        <v>88</v>
      </c>
      <c r="U29" s="318"/>
      <c r="V29" s="318" t="s">
        <v>90</v>
      </c>
      <c r="W29" s="318"/>
    </row>
    <row r="30" spans="1:25" x14ac:dyDescent="0.25">
      <c r="A30" s="187" t="s">
        <v>130</v>
      </c>
      <c r="B30" s="318" t="s">
        <v>114</v>
      </c>
      <c r="C30" s="318"/>
      <c r="D30" s="318" t="s">
        <v>114</v>
      </c>
      <c r="E30" s="318"/>
      <c r="F30" s="318" t="s">
        <v>366</v>
      </c>
      <c r="G30" s="318"/>
      <c r="H30" s="318"/>
      <c r="I30" s="318"/>
      <c r="J30" s="318" t="s">
        <v>366</v>
      </c>
      <c r="K30" s="318"/>
      <c r="L30" s="318"/>
      <c r="M30" s="318" t="s">
        <v>367</v>
      </c>
      <c r="N30" s="318"/>
      <c r="O30" s="318"/>
      <c r="P30" s="318" t="s">
        <v>368</v>
      </c>
      <c r="Q30" s="318"/>
      <c r="R30" s="318"/>
      <c r="S30" s="318"/>
      <c r="T30" s="318" t="s">
        <v>367</v>
      </c>
      <c r="U30" s="318"/>
      <c r="V30" s="318" t="s">
        <v>114</v>
      </c>
      <c r="W30" s="318"/>
    </row>
    <row r="31" spans="1:25" s="118" customFormat="1" ht="167.25" customHeight="1" x14ac:dyDescent="0.25">
      <c r="A31" s="194"/>
      <c r="B31" s="197"/>
      <c r="C31" s="197"/>
      <c r="D31" s="197"/>
      <c r="E31" s="197"/>
      <c r="F31" s="197" t="s">
        <v>369</v>
      </c>
      <c r="G31" s="197"/>
      <c r="H31" s="197" t="s">
        <v>370</v>
      </c>
      <c r="I31" s="197" t="s">
        <v>371</v>
      </c>
      <c r="J31" s="197" t="s">
        <v>372</v>
      </c>
      <c r="K31" s="197"/>
      <c r="L31" s="197"/>
      <c r="M31" s="212" t="s">
        <v>373</v>
      </c>
      <c r="N31" s="212" t="s">
        <v>374</v>
      </c>
      <c r="O31" s="197" t="s">
        <v>375</v>
      </c>
      <c r="P31" s="197"/>
      <c r="Q31" s="197"/>
      <c r="R31" s="197"/>
      <c r="S31" s="197"/>
      <c r="T31" s="212" t="s">
        <v>376</v>
      </c>
      <c r="U31" s="197"/>
      <c r="V31" s="197" t="s">
        <v>377</v>
      </c>
      <c r="W31" s="197" t="s">
        <v>378</v>
      </c>
    </row>
    <row r="32" spans="1:25" s="64" customFormat="1" x14ac:dyDescent="0.25">
      <c r="A32" s="53" t="s">
        <v>91</v>
      </c>
    </row>
    <row r="33" spans="1:1" s="121" customFormat="1" x14ac:dyDescent="0.25">
      <c r="A33" s="88" t="s">
        <v>93</v>
      </c>
    </row>
    <row r="34" spans="1:1" s="122" customFormat="1" x14ac:dyDescent="0.25">
      <c r="A34" s="65" t="s">
        <v>94</v>
      </c>
    </row>
    <row r="35" spans="1:1" s="58" customFormat="1" x14ac:dyDescent="0.25">
      <c r="A35" s="71" t="s">
        <v>95</v>
      </c>
    </row>
    <row r="36" spans="1:1" s="126" customFormat="1" x14ac:dyDescent="0.25">
      <c r="A36" s="127" t="s">
        <v>96</v>
      </c>
    </row>
    <row r="37" spans="1:1" s="132" customFormat="1" x14ac:dyDescent="0.25">
      <c r="A37" s="131" t="s">
        <v>97</v>
      </c>
    </row>
  </sheetData>
  <mergeCells count="32">
    <mergeCell ref="P27:S27"/>
    <mergeCell ref="T27:U27"/>
    <mergeCell ref="V27:W27"/>
    <mergeCell ref="B28:C28"/>
    <mergeCell ref="D28:E28"/>
    <mergeCell ref="F28:I28"/>
    <mergeCell ref="J28:L28"/>
    <mergeCell ref="M28:O28"/>
    <mergeCell ref="P28:S28"/>
    <mergeCell ref="T28:U28"/>
    <mergeCell ref="V28:W28"/>
    <mergeCell ref="B27:C27"/>
    <mergeCell ref="D27:E27"/>
    <mergeCell ref="F27:I27"/>
    <mergeCell ref="J27:L27"/>
    <mergeCell ref="M27:O27"/>
    <mergeCell ref="P29:S29"/>
    <mergeCell ref="T29:U29"/>
    <mergeCell ref="V29:W29"/>
    <mergeCell ref="B30:C30"/>
    <mergeCell ref="D30:E30"/>
    <mergeCell ref="F30:I30"/>
    <mergeCell ref="J30:L30"/>
    <mergeCell ref="M30:O30"/>
    <mergeCell ref="P30:S30"/>
    <mergeCell ref="T30:U30"/>
    <mergeCell ref="V30:W30"/>
    <mergeCell ref="B29:C29"/>
    <mergeCell ref="D29:E29"/>
    <mergeCell ref="F29:I29"/>
    <mergeCell ref="J29:L29"/>
    <mergeCell ref="M29:O29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32"/>
  <sheetViews>
    <sheetView zoomScaleNormal="100" workbookViewId="0">
      <selection activeCell="F26" sqref="F26"/>
    </sheetView>
  </sheetViews>
  <sheetFormatPr defaultColWidth="8.85546875" defaultRowHeight="15" x14ac:dyDescent="0.25"/>
  <cols>
    <col min="1" max="1" width="19.42578125" customWidth="1"/>
    <col min="2" max="5" width="6.7109375" customWidth="1"/>
    <col min="6" max="6" width="7.140625" customWidth="1"/>
    <col min="7" max="23" width="6.7109375" customWidth="1"/>
  </cols>
  <sheetData>
    <row r="1" spans="1:23" s="214" customFormat="1" x14ac:dyDescent="0.25">
      <c r="A1" s="213"/>
      <c r="B1" s="213" t="s">
        <v>0</v>
      </c>
      <c r="C1" s="213" t="s">
        <v>1</v>
      </c>
      <c r="D1" s="213" t="s">
        <v>2</v>
      </c>
      <c r="E1" s="213" t="s">
        <v>3</v>
      </c>
      <c r="F1" s="213" t="s">
        <v>4</v>
      </c>
      <c r="G1" s="213" t="s">
        <v>5</v>
      </c>
      <c r="H1" s="213" t="s">
        <v>243</v>
      </c>
      <c r="I1" s="213" t="s">
        <v>6</v>
      </c>
      <c r="J1" s="213" t="s">
        <v>7</v>
      </c>
      <c r="K1" s="213" t="s">
        <v>9</v>
      </c>
      <c r="L1" s="213" t="s">
        <v>314</v>
      </c>
      <c r="M1" s="213" t="s">
        <v>10</v>
      </c>
      <c r="N1" s="213" t="s">
        <v>11</v>
      </c>
      <c r="O1" s="213" t="s">
        <v>315</v>
      </c>
      <c r="P1" s="213" t="s">
        <v>14</v>
      </c>
      <c r="Q1" s="213" t="s">
        <v>15</v>
      </c>
      <c r="R1" s="213" t="s">
        <v>16</v>
      </c>
      <c r="S1" s="213" t="s">
        <v>101</v>
      </c>
      <c r="T1" s="213" t="s">
        <v>19</v>
      </c>
      <c r="U1" s="213" t="s">
        <v>20</v>
      </c>
      <c r="V1" s="213" t="s">
        <v>21</v>
      </c>
      <c r="W1" s="213" t="s">
        <v>102</v>
      </c>
    </row>
    <row r="2" spans="1:23" x14ac:dyDescent="0.25">
      <c r="A2" s="215" t="s">
        <v>342</v>
      </c>
      <c r="B2" s="215" t="s">
        <v>379</v>
      </c>
      <c r="C2" s="215" t="s">
        <v>379</v>
      </c>
      <c r="D2" s="215" t="s">
        <v>380</v>
      </c>
      <c r="E2" s="215" t="s">
        <v>380</v>
      </c>
      <c r="F2" s="215" t="s">
        <v>381</v>
      </c>
      <c r="G2" s="215" t="s">
        <v>381</v>
      </c>
      <c r="H2" s="215" t="s">
        <v>381</v>
      </c>
      <c r="I2" s="215" t="s">
        <v>382</v>
      </c>
      <c r="J2" s="215" t="s">
        <v>383</v>
      </c>
      <c r="K2" s="215" t="s">
        <v>383</v>
      </c>
      <c r="L2" s="215" t="s">
        <v>188</v>
      </c>
      <c r="M2" s="215" t="s">
        <v>193</v>
      </c>
      <c r="N2" s="215" t="s">
        <v>193</v>
      </c>
      <c r="O2" s="215" t="s">
        <v>193</v>
      </c>
      <c r="P2" s="215" t="s">
        <v>193</v>
      </c>
      <c r="Q2" s="215" t="s">
        <v>193</v>
      </c>
      <c r="R2" s="215" t="s">
        <v>193</v>
      </c>
      <c r="S2" s="215" t="s">
        <v>193</v>
      </c>
      <c r="T2" s="215" t="s">
        <v>384</v>
      </c>
      <c r="U2" s="215" t="s">
        <v>384</v>
      </c>
      <c r="V2" s="215" t="s">
        <v>193</v>
      </c>
      <c r="W2" s="215" t="s">
        <v>193</v>
      </c>
    </row>
    <row r="3" spans="1:23" s="219" customFormat="1" x14ac:dyDescent="0.25">
      <c r="A3" s="216" t="s">
        <v>25</v>
      </c>
      <c r="B3" s="217"/>
      <c r="C3" s="217"/>
      <c r="D3" s="218" t="s">
        <v>385</v>
      </c>
      <c r="E3" s="218" t="s">
        <v>385</v>
      </c>
      <c r="F3" s="218" t="s">
        <v>386</v>
      </c>
      <c r="G3" s="218" t="s">
        <v>386</v>
      </c>
      <c r="H3" s="218" t="s">
        <v>386</v>
      </c>
      <c r="I3" s="217"/>
      <c r="J3" s="218" t="s">
        <v>385</v>
      </c>
      <c r="K3" s="218" t="s">
        <v>385</v>
      </c>
      <c r="L3" s="217"/>
      <c r="M3" s="218" t="s">
        <v>386</v>
      </c>
      <c r="N3" s="218" t="s">
        <v>386</v>
      </c>
      <c r="O3" s="218" t="s">
        <v>386</v>
      </c>
      <c r="P3" s="218" t="s">
        <v>385</v>
      </c>
      <c r="Q3" s="218" t="s">
        <v>386</v>
      </c>
      <c r="R3" s="218" t="s">
        <v>385</v>
      </c>
      <c r="S3" s="218" t="s">
        <v>385</v>
      </c>
      <c r="T3" s="218" t="s">
        <v>385</v>
      </c>
      <c r="U3" s="218" t="s">
        <v>385</v>
      </c>
      <c r="V3" s="218" t="s">
        <v>387</v>
      </c>
      <c r="W3" s="218" t="s">
        <v>387</v>
      </c>
    </row>
    <row r="4" spans="1:23" s="219" customFormat="1" x14ac:dyDescent="0.25">
      <c r="A4" s="216" t="s">
        <v>31</v>
      </c>
      <c r="B4" s="217"/>
      <c r="C4" s="217"/>
      <c r="D4" s="218" t="s">
        <v>388</v>
      </c>
      <c r="E4" s="218" t="s">
        <v>388</v>
      </c>
      <c r="F4" s="218" t="s">
        <v>388</v>
      </c>
      <c r="G4" s="220" t="s">
        <v>389</v>
      </c>
      <c r="H4" s="220" t="s">
        <v>389</v>
      </c>
      <c r="I4" s="217"/>
      <c r="J4" s="218" t="s">
        <v>388</v>
      </c>
      <c r="K4" s="218" t="s">
        <v>388</v>
      </c>
      <c r="L4" s="217"/>
      <c r="M4" s="218" t="s">
        <v>388</v>
      </c>
      <c r="N4" s="218" t="s">
        <v>388</v>
      </c>
      <c r="O4" s="218" t="s">
        <v>388</v>
      </c>
      <c r="P4" s="218" t="s">
        <v>388</v>
      </c>
      <c r="Q4" s="218" t="s">
        <v>388</v>
      </c>
      <c r="R4" s="218" t="s">
        <v>388</v>
      </c>
      <c r="S4" s="218" t="s">
        <v>388</v>
      </c>
      <c r="T4" s="218" t="s">
        <v>388</v>
      </c>
      <c r="U4" s="218" t="s">
        <v>388</v>
      </c>
      <c r="V4" s="220" t="s">
        <v>390</v>
      </c>
      <c r="W4" s="218" t="s">
        <v>388</v>
      </c>
    </row>
    <row r="5" spans="1:23" x14ac:dyDescent="0.25">
      <c r="A5" s="215" t="s">
        <v>38</v>
      </c>
      <c r="B5" s="221"/>
      <c r="C5" s="221"/>
      <c r="D5" s="222"/>
      <c r="E5" s="222"/>
      <c r="F5" s="222"/>
      <c r="G5" s="222"/>
      <c r="H5" s="222"/>
      <c r="I5" s="221"/>
      <c r="J5" s="222"/>
      <c r="K5" s="222"/>
      <c r="L5" s="221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</row>
    <row r="6" spans="1:23" x14ac:dyDescent="0.25">
      <c r="A6" s="215" t="s">
        <v>41</v>
      </c>
      <c r="B6" s="221"/>
      <c r="C6" s="221"/>
      <c r="D6" s="222"/>
      <c r="E6" s="222"/>
      <c r="F6" s="222"/>
      <c r="G6" s="222"/>
      <c r="H6" s="222"/>
      <c r="I6" s="221"/>
      <c r="J6" s="222"/>
      <c r="K6" s="222"/>
      <c r="L6" s="221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</row>
    <row r="7" spans="1:23" x14ac:dyDescent="0.25">
      <c r="A7" s="215" t="s">
        <v>43</v>
      </c>
      <c r="B7" s="221"/>
      <c r="C7" s="221"/>
      <c r="D7" s="222"/>
      <c r="E7" s="222"/>
      <c r="F7" s="222"/>
      <c r="G7" s="222"/>
      <c r="H7" s="222"/>
      <c r="I7" s="221"/>
      <c r="J7" s="222"/>
      <c r="K7" s="222"/>
      <c r="L7" s="221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</row>
    <row r="8" spans="1:23" x14ac:dyDescent="0.25">
      <c r="A8" s="215" t="s">
        <v>44</v>
      </c>
      <c r="B8" s="221"/>
      <c r="C8" s="221"/>
      <c r="D8" s="223"/>
      <c r="E8" s="223"/>
      <c r="F8" s="223"/>
      <c r="G8" s="222"/>
      <c r="H8" s="222"/>
      <c r="I8" s="221"/>
      <c r="J8" s="223"/>
      <c r="K8" s="223"/>
      <c r="L8" s="221"/>
      <c r="M8" s="223"/>
      <c r="N8" s="223"/>
      <c r="O8" s="223"/>
      <c r="P8" s="222"/>
      <c r="Q8" s="223"/>
      <c r="R8" s="222"/>
      <c r="S8" s="222"/>
      <c r="T8" s="223"/>
      <c r="U8" s="223"/>
      <c r="V8" s="222"/>
      <c r="W8" s="222"/>
    </row>
    <row r="9" spans="1:23" x14ac:dyDescent="0.25">
      <c r="A9" s="215" t="s">
        <v>46</v>
      </c>
      <c r="B9" s="221"/>
      <c r="C9" s="221"/>
      <c r="D9" s="222"/>
      <c r="E9" s="222"/>
      <c r="F9" s="222"/>
      <c r="G9" s="222"/>
      <c r="H9" s="222"/>
      <c r="I9" s="221"/>
      <c r="J9" s="222"/>
      <c r="K9" s="222"/>
      <c r="L9" s="221"/>
      <c r="M9" s="222"/>
      <c r="N9" s="223"/>
      <c r="O9" s="222"/>
      <c r="P9" s="222"/>
      <c r="Q9" s="222"/>
      <c r="R9" s="222"/>
      <c r="S9" s="222"/>
      <c r="T9" s="223"/>
      <c r="U9" s="223"/>
      <c r="V9" s="222"/>
      <c r="W9" s="222"/>
    </row>
    <row r="10" spans="1:23" x14ac:dyDescent="0.25">
      <c r="A10" s="215" t="s">
        <v>50</v>
      </c>
      <c r="B10" s="221"/>
      <c r="C10" s="221"/>
      <c r="D10" s="222"/>
      <c r="E10" s="222"/>
      <c r="F10" s="222"/>
      <c r="G10" s="222"/>
      <c r="H10" s="222"/>
      <c r="I10" s="221"/>
      <c r="J10" s="223"/>
      <c r="K10" s="223"/>
      <c r="L10" s="221"/>
      <c r="M10" s="222"/>
      <c r="N10" s="222"/>
      <c r="O10" s="222"/>
      <c r="P10" s="222"/>
      <c r="Q10" s="223"/>
      <c r="R10" s="222"/>
      <c r="S10" s="222"/>
      <c r="T10" s="223"/>
      <c r="U10" s="223"/>
      <c r="V10" s="222"/>
      <c r="W10" s="222"/>
    </row>
    <row r="11" spans="1:23" x14ac:dyDescent="0.25">
      <c r="A11" s="215" t="s">
        <v>52</v>
      </c>
      <c r="B11" s="221"/>
      <c r="C11" s="221"/>
      <c r="D11" s="222">
        <v>2008</v>
      </c>
      <c r="E11" s="222">
        <v>2008</v>
      </c>
      <c r="F11" s="222">
        <v>2009</v>
      </c>
      <c r="G11" s="222">
        <v>2012</v>
      </c>
      <c r="H11" s="222">
        <v>2012</v>
      </c>
      <c r="I11" s="221"/>
      <c r="J11" s="222">
        <v>2011</v>
      </c>
      <c r="K11" s="222">
        <v>2011</v>
      </c>
      <c r="L11" s="221"/>
      <c r="M11" s="222">
        <v>2011</v>
      </c>
      <c r="N11" s="222">
        <v>2011</v>
      </c>
      <c r="O11" s="222">
        <v>2010</v>
      </c>
      <c r="P11" s="222">
        <v>2011</v>
      </c>
      <c r="Q11" s="223">
        <v>2008</v>
      </c>
      <c r="R11" s="222">
        <v>2012</v>
      </c>
      <c r="S11" s="222">
        <v>2012</v>
      </c>
      <c r="T11" s="223">
        <v>2009</v>
      </c>
      <c r="U11" s="223">
        <v>2009</v>
      </c>
      <c r="V11" s="222">
        <v>2010</v>
      </c>
      <c r="W11" s="222">
        <v>2010</v>
      </c>
    </row>
    <row r="12" spans="1:23" x14ac:dyDescent="0.25">
      <c r="A12" s="215" t="s">
        <v>54</v>
      </c>
      <c r="B12" s="221"/>
      <c r="C12" s="221"/>
      <c r="D12" s="223"/>
      <c r="E12" s="223"/>
      <c r="F12" s="223"/>
      <c r="G12" s="222"/>
      <c r="H12" s="222"/>
      <c r="I12" s="221"/>
      <c r="J12" s="223"/>
      <c r="K12" s="223"/>
      <c r="L12" s="221"/>
      <c r="M12" s="223"/>
      <c r="N12" s="223"/>
      <c r="O12" s="223"/>
      <c r="P12" s="222"/>
      <c r="Q12" s="223"/>
      <c r="R12" s="222"/>
      <c r="S12" s="222"/>
      <c r="T12" s="223"/>
      <c r="U12" s="223"/>
      <c r="V12" s="222"/>
      <c r="W12" s="222"/>
    </row>
    <row r="13" spans="1:23" x14ac:dyDescent="0.25">
      <c r="A13" s="215" t="s">
        <v>56</v>
      </c>
      <c r="B13" s="221"/>
      <c r="C13" s="221"/>
      <c r="D13" s="223"/>
      <c r="E13" s="224"/>
      <c r="F13" s="223"/>
      <c r="G13" s="222"/>
      <c r="H13" s="222"/>
      <c r="I13" s="221"/>
      <c r="J13" s="223"/>
      <c r="K13" s="223"/>
      <c r="L13" s="221"/>
      <c r="M13" s="224"/>
      <c r="N13" s="223"/>
      <c r="O13" s="223"/>
      <c r="P13" s="222"/>
      <c r="Q13" s="223"/>
      <c r="R13" s="222"/>
      <c r="S13" s="222"/>
      <c r="T13" s="223"/>
      <c r="U13" s="223"/>
      <c r="V13" s="222"/>
      <c r="W13" s="222"/>
    </row>
    <row r="14" spans="1:23" x14ac:dyDescent="0.25">
      <c r="A14" s="215" t="s">
        <v>57</v>
      </c>
      <c r="B14" s="221"/>
      <c r="C14" s="221"/>
      <c r="D14" s="223"/>
      <c r="E14" s="222"/>
      <c r="F14" s="223" t="s">
        <v>391</v>
      </c>
      <c r="G14" s="225" t="s">
        <v>37</v>
      </c>
      <c r="H14" s="222"/>
      <c r="I14" s="221"/>
      <c r="J14" s="222"/>
      <c r="K14" s="223"/>
      <c r="L14" s="221"/>
      <c r="M14" s="224" t="s">
        <v>392</v>
      </c>
      <c r="N14" s="222"/>
      <c r="O14" s="226" t="s">
        <v>393</v>
      </c>
      <c r="P14" s="222"/>
      <c r="Q14" s="223"/>
      <c r="R14" s="222"/>
      <c r="S14" s="222"/>
      <c r="T14" s="222"/>
      <c r="U14" s="222"/>
      <c r="V14" s="222"/>
      <c r="W14" s="222"/>
    </row>
    <row r="15" spans="1:23" x14ac:dyDescent="0.25">
      <c r="A15" s="215" t="s">
        <v>69</v>
      </c>
      <c r="B15" s="221"/>
      <c r="C15" s="221"/>
      <c r="D15" s="223"/>
      <c r="E15" s="223"/>
      <c r="F15" s="223"/>
      <c r="G15" s="226" t="s">
        <v>37</v>
      </c>
      <c r="H15" s="222"/>
      <c r="I15" s="221"/>
      <c r="J15" s="223"/>
      <c r="K15" s="222"/>
      <c r="L15" s="221"/>
      <c r="M15" s="223"/>
      <c r="N15" s="223"/>
      <c r="O15" s="223"/>
      <c r="P15" s="222"/>
      <c r="Q15" s="223"/>
      <c r="R15" s="222"/>
      <c r="S15" s="222"/>
      <c r="T15" s="224"/>
      <c r="U15" s="223"/>
      <c r="V15" s="222"/>
      <c r="W15" s="222"/>
    </row>
    <row r="16" spans="1:23" x14ac:dyDescent="0.25">
      <c r="A16" s="215" t="s">
        <v>145</v>
      </c>
      <c r="B16" s="221"/>
      <c r="C16" s="221"/>
      <c r="D16" s="222"/>
      <c r="E16" s="222"/>
      <c r="F16" s="224"/>
      <c r="G16" s="224"/>
      <c r="H16" s="222"/>
      <c r="I16" s="221"/>
      <c r="J16" s="222"/>
      <c r="K16" s="226"/>
      <c r="L16" s="221"/>
      <c r="M16" s="224"/>
      <c r="N16" s="222"/>
      <c r="O16" s="222"/>
      <c r="P16" s="222"/>
      <c r="Q16" s="222"/>
      <c r="R16" s="222"/>
      <c r="S16" s="222"/>
      <c r="T16" s="222"/>
      <c r="U16" s="224"/>
      <c r="V16" s="222"/>
      <c r="W16" s="222"/>
    </row>
    <row r="17" spans="1:23" x14ac:dyDescent="0.25">
      <c r="A17" s="215" t="s">
        <v>71</v>
      </c>
      <c r="B17" s="221"/>
      <c r="C17" s="221"/>
      <c r="D17" s="222"/>
      <c r="E17" s="222"/>
      <c r="F17" s="222" t="s">
        <v>37</v>
      </c>
      <c r="G17" s="224" t="s">
        <v>37</v>
      </c>
      <c r="H17" s="222"/>
      <c r="I17" s="221"/>
      <c r="J17" s="222"/>
      <c r="K17" s="222"/>
      <c r="L17" s="221"/>
      <c r="M17" s="222" t="s">
        <v>37</v>
      </c>
      <c r="N17" s="222" t="s">
        <v>37</v>
      </c>
      <c r="O17" s="222" t="s">
        <v>37</v>
      </c>
      <c r="P17" s="222"/>
      <c r="Q17" s="224" t="s">
        <v>394</v>
      </c>
      <c r="R17" s="222"/>
      <c r="S17" s="224"/>
      <c r="T17" s="222"/>
      <c r="U17" s="222"/>
      <c r="V17" s="222"/>
      <c r="W17" s="222"/>
    </row>
    <row r="18" spans="1:23" x14ac:dyDescent="0.25">
      <c r="A18" s="215" t="s">
        <v>72</v>
      </c>
      <c r="B18" s="221"/>
      <c r="C18" s="221"/>
      <c r="D18" s="222"/>
      <c r="E18" s="222"/>
      <c r="F18" s="222"/>
      <c r="G18" s="224"/>
      <c r="H18" s="224"/>
      <c r="I18" s="221"/>
      <c r="J18" s="222"/>
      <c r="K18" s="222"/>
      <c r="L18" s="221"/>
      <c r="M18" s="222"/>
      <c r="N18" s="222"/>
      <c r="O18" s="222"/>
      <c r="P18" s="222"/>
      <c r="Q18" s="222"/>
      <c r="R18" s="222"/>
      <c r="S18" s="222"/>
      <c r="T18" s="222"/>
      <c r="U18" s="222"/>
      <c r="V18" s="224"/>
      <c r="W18" s="222"/>
    </row>
    <row r="19" spans="1:23" x14ac:dyDescent="0.25">
      <c r="A19" s="215" t="s">
        <v>74</v>
      </c>
      <c r="B19" s="221"/>
      <c r="C19" s="221"/>
      <c r="D19" s="222"/>
      <c r="E19" s="222"/>
      <c r="F19" s="222"/>
      <c r="G19" s="226"/>
      <c r="H19" s="226"/>
      <c r="I19" s="221"/>
      <c r="J19" s="222"/>
      <c r="K19" s="222"/>
      <c r="L19" s="221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</row>
    <row r="20" spans="1:23" x14ac:dyDescent="0.25">
      <c r="A20" s="215" t="s">
        <v>75</v>
      </c>
      <c r="B20" s="221"/>
      <c r="C20" s="221"/>
      <c r="D20" s="222" t="s">
        <v>37</v>
      </c>
      <c r="E20" s="222" t="s">
        <v>37</v>
      </c>
      <c r="F20" s="222"/>
      <c r="G20" s="222"/>
      <c r="H20" s="222"/>
      <c r="I20" s="221"/>
      <c r="J20" s="222"/>
      <c r="K20" s="222"/>
      <c r="L20" s="221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</row>
    <row r="21" spans="1:23" x14ac:dyDescent="0.25">
      <c r="A21" s="215" t="s">
        <v>78</v>
      </c>
      <c r="B21" s="221"/>
      <c r="C21" s="221"/>
      <c r="D21" s="222"/>
      <c r="E21" s="222"/>
      <c r="F21" s="222"/>
      <c r="G21" s="222"/>
      <c r="H21" s="227"/>
      <c r="I21" s="228"/>
      <c r="J21" s="222"/>
      <c r="K21" s="222"/>
      <c r="L21" s="221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</row>
    <row r="22" spans="1:23" x14ac:dyDescent="0.25">
      <c r="A22" s="215" t="s">
        <v>80</v>
      </c>
      <c r="B22" s="221"/>
      <c r="C22" s="221"/>
      <c r="D22" s="222"/>
      <c r="E22" s="222"/>
      <c r="F22" s="222"/>
      <c r="G22" s="222"/>
      <c r="H22" s="222"/>
      <c r="I22" s="221"/>
      <c r="J22" s="222"/>
      <c r="K22" s="226"/>
      <c r="L22" s="221"/>
      <c r="M22" s="222"/>
      <c r="N22" s="222"/>
      <c r="O22" s="222"/>
      <c r="P22" s="222"/>
      <c r="Q22" s="222"/>
      <c r="R22" s="222"/>
      <c r="S22" s="222"/>
      <c r="T22" s="226"/>
      <c r="U22" s="222"/>
      <c r="V22" s="222"/>
      <c r="W22" s="222"/>
    </row>
    <row r="23" spans="1:23" x14ac:dyDescent="0.25">
      <c r="A23" s="215" t="s">
        <v>167</v>
      </c>
      <c r="B23" s="229">
        <v>14</v>
      </c>
      <c r="C23" s="229">
        <v>14</v>
      </c>
      <c r="D23" s="229">
        <v>14</v>
      </c>
      <c r="E23" s="229">
        <v>14</v>
      </c>
      <c r="F23" s="229">
        <v>14</v>
      </c>
      <c r="G23" s="229">
        <v>14</v>
      </c>
      <c r="H23" s="229">
        <v>14</v>
      </c>
      <c r="I23" s="229">
        <v>14</v>
      </c>
      <c r="J23" s="229">
        <v>14</v>
      </c>
      <c r="K23" s="229">
        <v>14</v>
      </c>
      <c r="L23" s="229">
        <v>14</v>
      </c>
      <c r="M23" s="229">
        <v>14</v>
      </c>
      <c r="N23" s="229">
        <v>14</v>
      </c>
      <c r="O23" s="229">
        <v>14</v>
      </c>
      <c r="P23" s="229">
        <v>0</v>
      </c>
      <c r="Q23" s="229">
        <v>14</v>
      </c>
      <c r="R23" s="229">
        <v>0</v>
      </c>
      <c r="S23" s="229">
        <v>0</v>
      </c>
      <c r="T23" s="229">
        <v>14</v>
      </c>
      <c r="U23" s="229">
        <v>14</v>
      </c>
      <c r="V23" s="229">
        <v>0</v>
      </c>
      <c r="W23" s="229">
        <v>0</v>
      </c>
    </row>
    <row r="24" spans="1:23" x14ac:dyDescent="0.25">
      <c r="A24" s="215" t="s">
        <v>83</v>
      </c>
      <c r="B24" s="229">
        <v>8</v>
      </c>
      <c r="C24" s="229">
        <v>2</v>
      </c>
      <c r="D24" s="229">
        <v>11</v>
      </c>
      <c r="E24" s="229">
        <v>5</v>
      </c>
      <c r="F24" s="229" t="s">
        <v>37</v>
      </c>
      <c r="G24" s="229" t="s">
        <v>37</v>
      </c>
      <c r="H24" s="229" t="s">
        <v>37</v>
      </c>
      <c r="I24" s="229">
        <v>0</v>
      </c>
      <c r="J24" s="229" t="s">
        <v>37</v>
      </c>
      <c r="K24" s="229" t="s">
        <v>37</v>
      </c>
      <c r="L24" s="229">
        <v>0</v>
      </c>
      <c r="M24" s="229" t="s">
        <v>37</v>
      </c>
      <c r="N24" s="229" t="s">
        <v>37</v>
      </c>
      <c r="O24" s="229" t="s">
        <v>37</v>
      </c>
      <c r="P24" s="229">
        <v>0</v>
      </c>
      <c r="Q24" s="229">
        <v>8</v>
      </c>
      <c r="R24" s="229">
        <v>0</v>
      </c>
      <c r="S24" s="229">
        <v>0</v>
      </c>
      <c r="T24" s="229">
        <v>8</v>
      </c>
      <c r="U24" s="229">
        <v>5</v>
      </c>
      <c r="V24" s="229">
        <v>0</v>
      </c>
      <c r="W24" s="229">
        <v>0</v>
      </c>
    </row>
    <row r="25" spans="1:23" x14ac:dyDescent="0.25">
      <c r="A25" s="215" t="s">
        <v>84</v>
      </c>
      <c r="B25" s="229">
        <v>0</v>
      </c>
      <c r="C25" s="229">
        <v>0</v>
      </c>
      <c r="D25" s="229" t="s">
        <v>37</v>
      </c>
      <c r="E25" s="229" t="s">
        <v>37</v>
      </c>
      <c r="F25" s="229" t="s">
        <v>37</v>
      </c>
      <c r="G25" s="229">
        <v>9</v>
      </c>
      <c r="H25" s="229" t="s">
        <v>37</v>
      </c>
      <c r="I25" s="229" t="s">
        <v>37</v>
      </c>
      <c r="J25" s="229" t="s">
        <v>37</v>
      </c>
      <c r="K25" s="229" t="s">
        <v>37</v>
      </c>
      <c r="L25" s="229" t="s">
        <v>37</v>
      </c>
      <c r="M25" s="229" t="s">
        <v>37</v>
      </c>
      <c r="N25" s="229" t="s">
        <v>37</v>
      </c>
      <c r="O25" s="229" t="s">
        <v>37</v>
      </c>
      <c r="P25" s="229">
        <v>0</v>
      </c>
      <c r="Q25" s="229">
        <v>10</v>
      </c>
      <c r="R25" s="229">
        <v>0</v>
      </c>
      <c r="S25" s="229">
        <v>0</v>
      </c>
      <c r="T25" s="229" t="s">
        <v>37</v>
      </c>
      <c r="U25" s="229" t="s">
        <v>37</v>
      </c>
      <c r="V25" s="229">
        <v>3</v>
      </c>
      <c r="W25" s="229">
        <v>0</v>
      </c>
    </row>
    <row r="26" spans="1:23" x14ac:dyDescent="0.25">
      <c r="A26" s="215" t="s">
        <v>85</v>
      </c>
      <c r="B26" s="229">
        <v>6</v>
      </c>
      <c r="C26" s="229">
        <v>12</v>
      </c>
      <c r="D26" s="229" t="s">
        <v>395</v>
      </c>
      <c r="E26" s="229" t="s">
        <v>396</v>
      </c>
      <c r="F26" s="229" t="s">
        <v>37</v>
      </c>
      <c r="G26" s="229">
        <v>0</v>
      </c>
      <c r="H26" s="229" t="s">
        <v>37</v>
      </c>
      <c r="I26" s="229" t="s">
        <v>37</v>
      </c>
      <c r="J26" s="229" t="s">
        <v>37</v>
      </c>
      <c r="K26" s="229" t="s">
        <v>37</v>
      </c>
      <c r="L26" s="229" t="s">
        <v>37</v>
      </c>
      <c r="M26" s="229" t="s">
        <v>37</v>
      </c>
      <c r="N26" s="229" t="s">
        <v>37</v>
      </c>
      <c r="O26" s="229" t="s">
        <v>37</v>
      </c>
      <c r="P26" s="229">
        <v>0</v>
      </c>
      <c r="Q26" s="229">
        <v>0</v>
      </c>
      <c r="R26" s="229">
        <v>0</v>
      </c>
      <c r="S26" s="229">
        <v>0</v>
      </c>
      <c r="T26" s="229" t="s">
        <v>397</v>
      </c>
      <c r="U26" s="229" t="s">
        <v>396</v>
      </c>
      <c r="V26" s="229">
        <v>0</v>
      </c>
      <c r="W26" s="229">
        <v>0</v>
      </c>
    </row>
    <row r="27" spans="1:23" x14ac:dyDescent="0.25">
      <c r="H27" s="224" t="s">
        <v>398</v>
      </c>
      <c r="K27" t="s">
        <v>399</v>
      </c>
      <c r="M27" t="s">
        <v>400</v>
      </c>
      <c r="N27" t="s">
        <v>400</v>
      </c>
      <c r="Q27" t="s">
        <v>401</v>
      </c>
      <c r="V27" s="224" t="s">
        <v>402</v>
      </c>
    </row>
    <row r="28" spans="1:23" x14ac:dyDescent="0.25">
      <c r="A28" s="222" t="s">
        <v>403</v>
      </c>
      <c r="G28" s="224" t="s">
        <v>404</v>
      </c>
      <c r="H28" s="224" t="s">
        <v>404</v>
      </c>
      <c r="K28" t="s">
        <v>405</v>
      </c>
      <c r="M28" s="226" t="s">
        <v>406</v>
      </c>
    </row>
    <row r="29" spans="1:23" x14ac:dyDescent="0.25">
      <c r="A29" s="224" t="s">
        <v>407</v>
      </c>
      <c r="G29" t="s">
        <v>408</v>
      </c>
    </row>
    <row r="30" spans="1:23" x14ac:dyDescent="0.25">
      <c r="A30" s="226" t="s">
        <v>409</v>
      </c>
    </row>
    <row r="31" spans="1:23" x14ac:dyDescent="0.25">
      <c r="A31" s="223" t="s">
        <v>410</v>
      </c>
    </row>
    <row r="32" spans="1:23" x14ac:dyDescent="0.25">
      <c r="A32" s="230" t="s">
        <v>341</v>
      </c>
    </row>
  </sheetData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2"/>
  <sheetViews>
    <sheetView zoomScaleNormal="100" workbookViewId="0">
      <selection activeCell="C25" sqref="C25"/>
    </sheetView>
  </sheetViews>
  <sheetFormatPr defaultColWidth="8.85546875" defaultRowHeight="15" x14ac:dyDescent="0.25"/>
  <cols>
    <col min="1" max="1" width="43.42578125" customWidth="1"/>
    <col min="2" max="10" width="4.42578125" customWidth="1"/>
  </cols>
  <sheetData>
    <row r="1" spans="1:10" x14ac:dyDescent="0.25"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</row>
    <row r="2" spans="1:10" x14ac:dyDescent="0.25">
      <c r="A2" t="s">
        <v>420</v>
      </c>
      <c r="B2">
        <v>2</v>
      </c>
      <c r="C2">
        <v>5</v>
      </c>
      <c r="D2">
        <v>2</v>
      </c>
      <c r="E2">
        <v>3</v>
      </c>
      <c r="F2">
        <v>3</v>
      </c>
      <c r="G2">
        <v>3</v>
      </c>
      <c r="H2">
        <v>3</v>
      </c>
      <c r="I2">
        <v>2</v>
      </c>
      <c r="J2">
        <v>2</v>
      </c>
    </row>
    <row r="3" spans="1:10" x14ac:dyDescent="0.25">
      <c r="A3" t="s">
        <v>421</v>
      </c>
      <c r="B3">
        <v>0</v>
      </c>
      <c r="C3">
        <v>-1</v>
      </c>
      <c r="D3">
        <v>0</v>
      </c>
      <c r="E3">
        <v>0</v>
      </c>
      <c r="F3">
        <v>0</v>
      </c>
      <c r="H3">
        <v>4</v>
      </c>
      <c r="I3">
        <v>0</v>
      </c>
      <c r="J3">
        <v>0</v>
      </c>
    </row>
    <row r="4" spans="1:10" x14ac:dyDescent="0.25">
      <c r="A4" t="s">
        <v>422</v>
      </c>
      <c r="C4">
        <v>1</v>
      </c>
      <c r="H4">
        <v>1</v>
      </c>
    </row>
    <row r="5" spans="1:10" x14ac:dyDescent="0.25">
      <c r="A5" t="s">
        <v>423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 t="s">
        <v>424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 t="s">
        <v>425</v>
      </c>
      <c r="C7">
        <v>1</v>
      </c>
      <c r="H7">
        <v>2</v>
      </c>
    </row>
    <row r="8" spans="1:10" x14ac:dyDescent="0.25">
      <c r="A8" t="s">
        <v>426</v>
      </c>
      <c r="C8">
        <v>0</v>
      </c>
      <c r="D8">
        <v>0</v>
      </c>
      <c r="F8">
        <v>0</v>
      </c>
      <c r="G8">
        <v>0</v>
      </c>
      <c r="H8">
        <v>0</v>
      </c>
      <c r="I8">
        <v>0</v>
      </c>
    </row>
    <row r="9" spans="1:10" x14ac:dyDescent="0.25">
      <c r="A9" t="s">
        <v>427</v>
      </c>
      <c r="C9">
        <v>0</v>
      </c>
      <c r="G9">
        <v>1</v>
      </c>
      <c r="H9">
        <v>0</v>
      </c>
    </row>
    <row r="10" spans="1:10" x14ac:dyDescent="0.25">
      <c r="A10" t="s">
        <v>428</v>
      </c>
      <c r="C10">
        <v>0</v>
      </c>
      <c r="H10">
        <v>1</v>
      </c>
    </row>
    <row r="11" spans="1:10" x14ac:dyDescent="0.25">
      <c r="A11" t="s">
        <v>429</v>
      </c>
      <c r="C11">
        <v>1</v>
      </c>
      <c r="H11">
        <v>1</v>
      </c>
    </row>
    <row r="12" spans="1:10" x14ac:dyDescent="0.25">
      <c r="A12" t="s">
        <v>430</v>
      </c>
      <c r="C12">
        <v>0</v>
      </c>
      <c r="H12">
        <v>1</v>
      </c>
    </row>
    <row r="13" spans="1:10" x14ac:dyDescent="0.25">
      <c r="A13" t="s">
        <v>431</v>
      </c>
      <c r="C13">
        <v>1</v>
      </c>
      <c r="H13">
        <v>1</v>
      </c>
    </row>
    <row r="14" spans="1:10" x14ac:dyDescent="0.25">
      <c r="A14" t="s">
        <v>432</v>
      </c>
      <c r="C14">
        <v>1</v>
      </c>
      <c r="H14">
        <v>1</v>
      </c>
    </row>
    <row r="15" spans="1:10" x14ac:dyDescent="0.25">
      <c r="A15" t="s">
        <v>433</v>
      </c>
      <c r="C15">
        <v>2</v>
      </c>
      <c r="D15">
        <v>0</v>
      </c>
      <c r="F15">
        <v>0</v>
      </c>
      <c r="G15">
        <v>2</v>
      </c>
      <c r="H15">
        <v>4</v>
      </c>
      <c r="I15">
        <v>0</v>
      </c>
      <c r="J15">
        <v>0</v>
      </c>
    </row>
    <row r="16" spans="1:10" x14ac:dyDescent="0.25">
      <c r="A16" t="s">
        <v>434</v>
      </c>
      <c r="B16">
        <v>0</v>
      </c>
      <c r="C16">
        <v>1</v>
      </c>
      <c r="D16">
        <v>0</v>
      </c>
      <c r="F16">
        <v>0</v>
      </c>
      <c r="G16">
        <v>0</v>
      </c>
      <c r="H16">
        <v>1</v>
      </c>
      <c r="I16">
        <v>0</v>
      </c>
      <c r="J16">
        <v>0</v>
      </c>
    </row>
    <row r="17" spans="1:10" x14ac:dyDescent="0.25">
      <c r="A17" t="s">
        <v>435</v>
      </c>
      <c r="B17">
        <v>0</v>
      </c>
      <c r="C17">
        <v>1</v>
      </c>
      <c r="D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 spans="1:10" x14ac:dyDescent="0.25">
      <c r="A18" t="s">
        <v>436</v>
      </c>
      <c r="B18">
        <v>0</v>
      </c>
      <c r="C18">
        <v>1</v>
      </c>
      <c r="D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25">
      <c r="A19" t="s">
        <v>437</v>
      </c>
      <c r="C19">
        <v>0</v>
      </c>
      <c r="H19">
        <v>0</v>
      </c>
    </row>
    <row r="20" spans="1:10" x14ac:dyDescent="0.25">
      <c r="A20" t="s">
        <v>438</v>
      </c>
      <c r="B20">
        <v>0</v>
      </c>
      <c r="C20">
        <v>0</v>
      </c>
      <c r="D20">
        <v>0</v>
      </c>
      <c r="E20">
        <v>0</v>
      </c>
      <c r="F20">
        <v>0</v>
      </c>
      <c r="H20">
        <v>1</v>
      </c>
      <c r="I20">
        <v>0</v>
      </c>
      <c r="J20">
        <v>0</v>
      </c>
    </row>
    <row r="21" spans="1:10" x14ac:dyDescent="0.25">
      <c r="A21" t="s">
        <v>439</v>
      </c>
      <c r="C21">
        <v>0</v>
      </c>
      <c r="H21">
        <v>4</v>
      </c>
    </row>
    <row r="22" spans="1:10" x14ac:dyDescent="0.25">
      <c r="A22" t="s">
        <v>440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25">
      <c r="A23" t="s">
        <v>441</v>
      </c>
      <c r="C23">
        <v>0</v>
      </c>
      <c r="H23">
        <v>0</v>
      </c>
    </row>
    <row r="29" spans="1:10" x14ac:dyDescent="0.25">
      <c r="A29" s="231" t="s">
        <v>442</v>
      </c>
    </row>
    <row r="30" spans="1:10" x14ac:dyDescent="0.25">
      <c r="A30" t="s">
        <v>443</v>
      </c>
    </row>
    <row r="31" spans="1:10" x14ac:dyDescent="0.25">
      <c r="A31" t="s">
        <v>444</v>
      </c>
    </row>
    <row r="32" spans="1:10" x14ac:dyDescent="0.25">
      <c r="A32" t="s">
        <v>445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8"/>
  <sheetViews>
    <sheetView zoomScaleNormal="100" workbookViewId="0">
      <selection activeCell="B2" sqref="B2"/>
    </sheetView>
  </sheetViews>
  <sheetFormatPr defaultColWidth="8.85546875" defaultRowHeight="15" x14ac:dyDescent="0.25"/>
  <cols>
    <col min="1" max="1" width="40" customWidth="1"/>
    <col min="2" max="2" width="3.85546875" customWidth="1"/>
    <col min="3" max="3" width="4.42578125" customWidth="1"/>
    <col min="4" max="4" width="23.7109375" customWidth="1"/>
    <col min="5" max="5" width="15.7109375" customWidth="1"/>
    <col min="6" max="6" width="18.7109375" customWidth="1"/>
    <col min="7" max="7" width="22.42578125" customWidth="1"/>
    <col min="8" max="8" width="28.28515625" customWidth="1"/>
    <col min="9" max="9" width="21.42578125" customWidth="1"/>
    <col min="10" max="10" width="8.42578125" customWidth="1"/>
    <col min="11" max="11" width="13.28515625" customWidth="1"/>
    <col min="12" max="12" width="8.42578125" customWidth="1"/>
    <col min="13" max="13" width="16.140625" customWidth="1"/>
    <col min="14" max="15" width="7.42578125" customWidth="1"/>
  </cols>
  <sheetData>
    <row r="1" spans="1:15" s="214" customFormat="1" x14ac:dyDescent="0.25">
      <c r="A1" s="232"/>
      <c r="B1" s="232" t="s">
        <v>2</v>
      </c>
      <c r="C1" s="232" t="s">
        <v>3</v>
      </c>
      <c r="D1" s="232" t="s">
        <v>4</v>
      </c>
      <c r="E1" s="232" t="s">
        <v>5</v>
      </c>
      <c r="F1" s="232" t="s">
        <v>243</v>
      </c>
      <c r="G1" s="232" t="s">
        <v>7</v>
      </c>
      <c r="H1" s="232" t="s">
        <v>9</v>
      </c>
      <c r="I1" s="232" t="s">
        <v>10</v>
      </c>
      <c r="J1" s="232" t="s">
        <v>11</v>
      </c>
      <c r="K1" s="232" t="s">
        <v>315</v>
      </c>
      <c r="L1" s="232" t="s">
        <v>19</v>
      </c>
      <c r="M1" s="232" t="s">
        <v>20</v>
      </c>
      <c r="N1" s="232" t="s">
        <v>21</v>
      </c>
      <c r="O1" s="232" t="s">
        <v>102</v>
      </c>
    </row>
    <row r="2" spans="1:15" x14ac:dyDescent="0.25">
      <c r="A2" s="233" t="s">
        <v>446</v>
      </c>
      <c r="B2" s="233" t="s">
        <v>189</v>
      </c>
      <c r="C2" s="233" t="s">
        <v>189</v>
      </c>
      <c r="D2" s="233" t="s">
        <v>37</v>
      </c>
      <c r="E2" s="233" t="s">
        <v>37</v>
      </c>
      <c r="F2" s="233" t="s">
        <v>37</v>
      </c>
      <c r="G2" s="233" t="s">
        <v>37</v>
      </c>
      <c r="H2" s="233" t="s">
        <v>37</v>
      </c>
      <c r="I2" s="233" t="s">
        <v>37</v>
      </c>
      <c r="J2" s="233" t="s">
        <v>37</v>
      </c>
      <c r="K2" s="233" t="s">
        <v>37</v>
      </c>
      <c r="L2" s="233" t="s">
        <v>37</v>
      </c>
      <c r="M2" s="233" t="s">
        <v>37</v>
      </c>
      <c r="N2" s="233" t="s">
        <v>189</v>
      </c>
      <c r="O2" s="233" t="s">
        <v>189</v>
      </c>
    </row>
    <row r="3" spans="1:15" s="219" customFormat="1" x14ac:dyDescent="0.25">
      <c r="A3" s="234" t="s">
        <v>25</v>
      </c>
      <c r="B3" s="234"/>
      <c r="C3" s="234"/>
      <c r="D3" s="234" t="s">
        <v>447</v>
      </c>
      <c r="E3" s="234" t="s">
        <v>447</v>
      </c>
      <c r="F3" s="234" t="s">
        <v>447</v>
      </c>
      <c r="G3" s="234" t="s">
        <v>447</v>
      </c>
      <c r="H3" s="234" t="s">
        <v>447</v>
      </c>
      <c r="I3" s="234" t="s">
        <v>448</v>
      </c>
      <c r="J3" s="234" t="s">
        <v>448</v>
      </c>
      <c r="K3" s="234" t="s">
        <v>448</v>
      </c>
      <c r="L3" s="234" t="s">
        <v>448</v>
      </c>
      <c r="M3" s="234" t="s">
        <v>448</v>
      </c>
      <c r="N3" s="234"/>
      <c r="O3" s="234"/>
    </row>
    <row r="4" spans="1:15" s="219" customFormat="1" x14ac:dyDescent="0.25">
      <c r="A4" s="234" t="s">
        <v>31</v>
      </c>
      <c r="B4" s="234"/>
      <c r="C4" s="234"/>
      <c r="D4" s="234" t="s">
        <v>447</v>
      </c>
      <c r="E4" s="234" t="s">
        <v>449</v>
      </c>
      <c r="F4" s="234" t="s">
        <v>447</v>
      </c>
      <c r="G4" s="234" t="s">
        <v>447</v>
      </c>
      <c r="H4" s="234" t="s">
        <v>447</v>
      </c>
      <c r="I4" s="234" t="s">
        <v>450</v>
      </c>
      <c r="J4" s="234" t="s">
        <v>448</v>
      </c>
      <c r="K4" s="234" t="s">
        <v>448</v>
      </c>
      <c r="L4" s="234" t="s">
        <v>448</v>
      </c>
      <c r="M4" s="234" t="s">
        <v>448</v>
      </c>
      <c r="N4" s="234"/>
      <c r="O4" s="234"/>
    </row>
    <row r="5" spans="1:15" x14ac:dyDescent="0.25">
      <c r="A5" s="229" t="s">
        <v>38</v>
      </c>
      <c r="B5" s="229"/>
      <c r="C5" s="229"/>
      <c r="D5" s="235"/>
      <c r="E5" s="226"/>
      <c r="F5" s="235"/>
      <c r="G5" s="235"/>
      <c r="H5" s="235"/>
      <c r="I5" s="235"/>
      <c r="J5" s="235"/>
      <c r="K5" s="235"/>
      <c r="L5" s="235"/>
      <c r="M5" s="235"/>
      <c r="N5" s="226"/>
      <c r="O5" s="226"/>
    </row>
    <row r="6" spans="1:15" x14ac:dyDescent="0.25">
      <c r="A6" s="229" t="s">
        <v>41</v>
      </c>
      <c r="B6" s="229"/>
      <c r="C6" s="229"/>
      <c r="D6" s="235"/>
      <c r="E6" s="226"/>
      <c r="F6" s="235"/>
      <c r="G6" s="235"/>
      <c r="H6" s="235"/>
      <c r="I6" s="235"/>
      <c r="J6" s="235"/>
      <c r="K6" s="235"/>
      <c r="L6" s="235"/>
      <c r="M6" s="235"/>
      <c r="N6" s="226"/>
      <c r="O6" s="226"/>
    </row>
    <row r="7" spans="1:15" x14ac:dyDescent="0.25">
      <c r="A7" s="229" t="s">
        <v>43</v>
      </c>
      <c r="B7" s="229"/>
      <c r="C7" s="229"/>
      <c r="D7" s="235"/>
      <c r="E7" s="226"/>
      <c r="F7" s="235"/>
      <c r="G7" s="235"/>
      <c r="H7" s="235"/>
      <c r="I7" s="235"/>
      <c r="J7" s="235"/>
      <c r="K7" s="235"/>
      <c r="L7" s="235"/>
      <c r="M7" s="235"/>
      <c r="N7" s="226"/>
      <c r="O7" s="226"/>
    </row>
    <row r="8" spans="1:15" x14ac:dyDescent="0.25">
      <c r="A8" s="229" t="s">
        <v>451</v>
      </c>
      <c r="B8" s="229"/>
      <c r="C8" s="229"/>
      <c r="D8" s="235"/>
      <c r="E8" s="226">
        <v>1</v>
      </c>
      <c r="F8" s="235"/>
      <c r="G8" s="235">
        <v>1</v>
      </c>
      <c r="H8" s="235"/>
      <c r="I8" s="235"/>
      <c r="J8" s="235">
        <v>1</v>
      </c>
      <c r="K8" s="235">
        <v>1</v>
      </c>
      <c r="L8" s="235">
        <v>1</v>
      </c>
      <c r="M8" s="235">
        <v>1</v>
      </c>
      <c r="N8" s="226"/>
      <c r="O8" s="226"/>
    </row>
    <row r="9" spans="1:15" x14ac:dyDescent="0.25">
      <c r="A9" s="229" t="s">
        <v>452</v>
      </c>
      <c r="B9" s="229"/>
      <c r="C9" s="229"/>
      <c r="D9" s="226" t="s">
        <v>453</v>
      </c>
      <c r="E9" s="226"/>
      <c r="F9" s="226" t="s">
        <v>454</v>
      </c>
      <c r="G9" s="235"/>
      <c r="H9" s="226" t="s">
        <v>455</v>
      </c>
      <c r="I9" s="224">
        <v>1</v>
      </c>
      <c r="J9" s="235"/>
      <c r="K9" s="235"/>
      <c r="L9" s="235"/>
      <c r="M9" s="235"/>
      <c r="N9" s="226"/>
      <c r="O9" s="226"/>
    </row>
    <row r="10" spans="1:15" x14ac:dyDescent="0.25">
      <c r="A10" s="229" t="s">
        <v>50</v>
      </c>
      <c r="B10" s="229"/>
      <c r="C10" s="229"/>
      <c r="D10" s="235"/>
      <c r="E10" s="226" t="s">
        <v>37</v>
      </c>
      <c r="F10" s="224">
        <v>1</v>
      </c>
      <c r="G10" s="235"/>
      <c r="H10" s="235"/>
      <c r="I10" s="224">
        <v>1</v>
      </c>
      <c r="J10" s="224"/>
      <c r="K10" s="224" t="s">
        <v>456</v>
      </c>
      <c r="L10" s="235"/>
      <c r="M10" s="235"/>
      <c r="N10" s="226"/>
      <c r="O10" s="226"/>
    </row>
    <row r="11" spans="1:15" x14ac:dyDescent="0.25">
      <c r="A11" s="229" t="s">
        <v>52</v>
      </c>
      <c r="B11" s="229"/>
      <c r="C11" s="229"/>
      <c r="D11" s="235"/>
      <c r="E11" s="226" t="s">
        <v>37</v>
      </c>
      <c r="F11" s="226" t="s">
        <v>454</v>
      </c>
      <c r="G11" s="235"/>
      <c r="H11" s="235"/>
      <c r="I11" s="224" t="s">
        <v>457</v>
      </c>
      <c r="J11" s="224" t="s">
        <v>457</v>
      </c>
      <c r="K11" s="224" t="s">
        <v>458</v>
      </c>
      <c r="L11" s="235"/>
      <c r="M11" s="235"/>
      <c r="N11" s="226"/>
      <c r="O11" s="226"/>
    </row>
    <row r="12" spans="1:15" x14ac:dyDescent="0.25">
      <c r="A12" s="229" t="s">
        <v>459</v>
      </c>
      <c r="B12" s="229"/>
      <c r="C12" s="229"/>
      <c r="D12" s="226" t="s">
        <v>460</v>
      </c>
      <c r="E12" s="226">
        <v>2</v>
      </c>
      <c r="F12" s="226">
        <v>2</v>
      </c>
      <c r="G12" s="235"/>
      <c r="H12" s="235"/>
      <c r="I12" s="224">
        <v>2</v>
      </c>
      <c r="J12" s="224">
        <v>1</v>
      </c>
      <c r="K12" s="224">
        <v>1</v>
      </c>
      <c r="L12" s="224">
        <v>1</v>
      </c>
      <c r="M12" s="235"/>
      <c r="N12" s="226"/>
      <c r="O12" s="226"/>
    </row>
    <row r="13" spans="1:15" x14ac:dyDescent="0.25">
      <c r="A13" s="229" t="s">
        <v>461</v>
      </c>
      <c r="B13" s="229"/>
      <c r="C13" s="229"/>
      <c r="D13" s="235" t="s">
        <v>462</v>
      </c>
      <c r="E13" s="226" t="s">
        <v>37</v>
      </c>
      <c r="F13" s="226" t="s">
        <v>454</v>
      </c>
      <c r="G13" s="235" t="s">
        <v>463</v>
      </c>
      <c r="H13" s="235"/>
      <c r="I13" s="235"/>
      <c r="J13" s="235"/>
      <c r="K13" s="235"/>
      <c r="L13" s="235"/>
      <c r="M13" s="235"/>
      <c r="N13" s="226"/>
      <c r="O13" s="226"/>
    </row>
    <row r="14" spans="1:15" x14ac:dyDescent="0.25">
      <c r="A14" s="229" t="s">
        <v>464</v>
      </c>
      <c r="B14" s="229"/>
      <c r="C14" s="229"/>
      <c r="D14" s="235">
        <v>1</v>
      </c>
      <c r="E14" s="226">
        <v>1</v>
      </c>
      <c r="F14" s="226">
        <v>1</v>
      </c>
      <c r="G14" s="235">
        <v>1</v>
      </c>
      <c r="H14" s="235" t="s">
        <v>454</v>
      </c>
      <c r="I14" s="224">
        <v>1</v>
      </c>
      <c r="J14" s="235">
        <v>1</v>
      </c>
      <c r="K14" s="235">
        <v>1</v>
      </c>
      <c r="L14" s="235">
        <v>1</v>
      </c>
      <c r="M14" s="235">
        <v>1</v>
      </c>
      <c r="N14" s="226"/>
      <c r="O14" s="226"/>
    </row>
    <row r="15" spans="1:15" x14ac:dyDescent="0.25">
      <c r="A15" s="229" t="s">
        <v>145</v>
      </c>
      <c r="B15" s="229"/>
      <c r="C15" s="229"/>
      <c r="D15" s="235"/>
      <c r="E15" s="226"/>
      <c r="F15" s="226" t="s">
        <v>454</v>
      </c>
      <c r="G15" s="235"/>
      <c r="H15" s="235"/>
      <c r="I15" s="226" t="s">
        <v>465</v>
      </c>
      <c r="J15" s="235"/>
      <c r="K15" s="235"/>
      <c r="L15" s="235"/>
      <c r="M15" s="224" t="s">
        <v>466</v>
      </c>
      <c r="N15" s="226"/>
      <c r="O15" s="226"/>
    </row>
    <row r="16" spans="1:15" x14ac:dyDescent="0.25">
      <c r="A16" s="229" t="s">
        <v>467</v>
      </c>
      <c r="B16" s="229"/>
      <c r="C16" s="229"/>
      <c r="D16" s="235"/>
      <c r="E16" s="226"/>
      <c r="F16" s="226"/>
      <c r="G16" s="235"/>
      <c r="H16" s="235" t="s">
        <v>468</v>
      </c>
      <c r="I16" s="235"/>
      <c r="J16" s="235"/>
      <c r="K16" s="235"/>
      <c r="L16" s="235"/>
      <c r="M16" s="235"/>
      <c r="N16" s="226"/>
      <c r="O16" s="226"/>
    </row>
    <row r="17" spans="1:15" x14ac:dyDescent="0.25">
      <c r="A17" s="229" t="s">
        <v>74</v>
      </c>
      <c r="B17" s="229"/>
      <c r="C17" s="229"/>
      <c r="D17" s="235"/>
      <c r="E17" s="226"/>
      <c r="F17" s="235"/>
      <c r="G17" s="235"/>
      <c r="H17" s="235"/>
      <c r="I17" s="235"/>
      <c r="J17" s="235"/>
      <c r="K17" s="235"/>
      <c r="L17" s="235"/>
      <c r="M17" s="235"/>
      <c r="N17" s="226"/>
      <c r="O17" s="226"/>
    </row>
    <row r="18" spans="1:15" x14ac:dyDescent="0.25">
      <c r="A18" s="229" t="s">
        <v>469</v>
      </c>
      <c r="B18" s="229"/>
      <c r="C18" s="229"/>
      <c r="D18" s="235" t="s">
        <v>37</v>
      </c>
      <c r="E18" s="226" t="s">
        <v>37</v>
      </c>
      <c r="F18" s="226"/>
      <c r="G18" s="226" t="s">
        <v>470</v>
      </c>
      <c r="H18" s="226" t="s">
        <v>470</v>
      </c>
      <c r="I18" s="226" t="s">
        <v>471</v>
      </c>
      <c r="J18" s="235"/>
      <c r="K18" s="235"/>
      <c r="L18" s="235"/>
      <c r="M18" s="235"/>
      <c r="N18" s="226"/>
      <c r="O18" s="226"/>
    </row>
    <row r="19" spans="1:15" x14ac:dyDescent="0.25">
      <c r="A19" s="229" t="s">
        <v>78</v>
      </c>
      <c r="B19" s="229"/>
      <c r="C19" s="229"/>
      <c r="D19" s="226" t="s">
        <v>472</v>
      </c>
      <c r="E19" s="226" t="s">
        <v>473</v>
      </c>
      <c r="F19" s="236"/>
      <c r="G19" s="235"/>
      <c r="H19" s="226" t="s">
        <v>474</v>
      </c>
      <c r="I19" s="226" t="s">
        <v>471</v>
      </c>
      <c r="J19" s="235"/>
      <c r="K19" s="235"/>
      <c r="L19" s="235"/>
      <c r="M19" s="235"/>
      <c r="N19" s="226"/>
      <c r="O19" s="226"/>
    </row>
    <row r="20" spans="1:15" x14ac:dyDescent="0.25">
      <c r="A20" s="229" t="s">
        <v>80</v>
      </c>
      <c r="B20" s="229"/>
      <c r="C20" s="229"/>
      <c r="D20" s="229"/>
      <c r="E20" s="229"/>
      <c r="F20" s="229"/>
      <c r="G20" s="235"/>
      <c r="H20" s="235"/>
      <c r="I20" s="226">
        <v>1</v>
      </c>
      <c r="J20" s="235"/>
      <c r="K20" s="235"/>
      <c r="L20" s="235"/>
      <c r="M20" s="235" t="s">
        <v>454</v>
      </c>
      <c r="N20" s="226"/>
      <c r="O20" s="226"/>
    </row>
    <row r="21" spans="1:15" x14ac:dyDescent="0.25">
      <c r="A21" s="229" t="s">
        <v>475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</row>
    <row r="22" spans="1:15" x14ac:dyDescent="0.25">
      <c r="A22" s="229" t="s">
        <v>476</v>
      </c>
      <c r="B22" s="238"/>
      <c r="C22" s="239"/>
      <c r="D22" s="229"/>
      <c r="E22" s="240"/>
      <c r="F22" s="239"/>
      <c r="G22" s="238"/>
      <c r="H22" s="239"/>
      <c r="I22" s="238"/>
      <c r="J22" s="239"/>
      <c r="K22" s="238"/>
      <c r="L22" s="240"/>
      <c r="M22" s="239"/>
      <c r="N22" s="240"/>
      <c r="O22" s="239"/>
    </row>
    <row r="24" spans="1:15" x14ac:dyDescent="0.25">
      <c r="B24" s="229"/>
      <c r="C24" s="229"/>
      <c r="D24" s="229"/>
      <c r="E24" s="229"/>
      <c r="F24" s="229"/>
      <c r="G24" s="229"/>
      <c r="H24" s="229"/>
      <c r="I24" s="229" t="s">
        <v>477</v>
      </c>
      <c r="J24" s="229" t="s">
        <v>478</v>
      </c>
      <c r="K24" s="229" t="s">
        <v>479</v>
      </c>
      <c r="L24" s="229"/>
      <c r="M24" s="229"/>
      <c r="N24" s="229"/>
      <c r="O24" s="229"/>
    </row>
    <row r="25" spans="1:15" x14ac:dyDescent="0.25">
      <c r="A25" s="235" t="s">
        <v>480</v>
      </c>
      <c r="B25" s="229"/>
      <c r="C25" s="229"/>
      <c r="D25" s="229"/>
      <c r="E25" s="229"/>
      <c r="F25" s="229"/>
      <c r="G25" s="229"/>
      <c r="H25" s="229"/>
      <c r="I25" s="229"/>
      <c r="J25" s="229"/>
      <c r="K25" s="229" t="s">
        <v>481</v>
      </c>
      <c r="L25" s="229"/>
      <c r="M25" s="229"/>
      <c r="N25" s="229"/>
      <c r="O25" s="229"/>
    </row>
    <row r="26" spans="1:15" x14ac:dyDescent="0.25">
      <c r="A26" s="224" t="s">
        <v>482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</row>
    <row r="27" spans="1:15" x14ac:dyDescent="0.25">
      <c r="A27" s="226" t="s">
        <v>409</v>
      </c>
      <c r="B27" s="229"/>
      <c r="C27" s="229"/>
      <c r="D27" s="229"/>
      <c r="E27" s="229" t="s">
        <v>483</v>
      </c>
      <c r="F27" s="229" t="s">
        <v>483</v>
      </c>
      <c r="G27" s="229"/>
      <c r="H27" s="229"/>
      <c r="I27" s="229" t="s">
        <v>483</v>
      </c>
      <c r="J27" s="229" t="s">
        <v>483</v>
      </c>
      <c r="K27" s="229" t="s">
        <v>483</v>
      </c>
      <c r="L27" s="229"/>
      <c r="M27" s="229"/>
      <c r="N27" s="229"/>
      <c r="O27" s="229"/>
    </row>
    <row r="28" spans="1:15" x14ac:dyDescent="0.25">
      <c r="A28" s="241"/>
    </row>
  </sheetData>
  <pageMargins left="0.70833333333333304" right="0.70833333333333304" top="0.74791666666666701" bottom="0.74791666666666701" header="0.511811023622047" footer="0.511811023622047"/>
  <pageSetup paperSize="8" scale="13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17</vt:i4>
      </vt:variant>
      <vt:variant>
        <vt:lpstr>Navngivne områder</vt:lpstr>
      </vt:variant>
      <vt:variant>
        <vt:i4>6</vt:i4>
      </vt:variant>
    </vt:vector>
  </HeadingPairs>
  <TitlesOfParts>
    <vt:vector size="23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 (2)</vt:lpstr>
      <vt:lpstr>2015</vt:lpstr>
      <vt:lpstr>2014</vt:lpstr>
      <vt:lpstr>2013</vt:lpstr>
      <vt:lpstr>2012</vt:lpstr>
      <vt:lpstr>kit 2012</vt:lpstr>
      <vt:lpstr>2011</vt:lpstr>
      <vt:lpstr>'2014'!Udskriftstitler</vt:lpstr>
      <vt:lpstr>'2015'!Udskriftstitler</vt:lpstr>
      <vt:lpstr>'2015 (2)'!Udskriftstitler</vt:lpstr>
      <vt:lpstr>'2016'!Udskriftstitler</vt:lpstr>
      <vt:lpstr>'2017'!Udskriftstitler</vt:lpstr>
      <vt:lpstr>'2018'!Udskriftstitler</vt:lpstr>
    </vt:vector>
  </TitlesOfParts>
  <Company>GEUS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Dirk</dc:creator>
  <dc:description/>
  <cp:lastModifiedBy>Robert Schjøtt Fausto</cp:lastModifiedBy>
  <cp:revision>1</cp:revision>
  <cp:lastPrinted>2021-08-16T07:03:56Z</cp:lastPrinted>
  <dcterms:created xsi:type="dcterms:W3CDTF">2010-03-15T11:47:32Z</dcterms:created>
  <dcterms:modified xsi:type="dcterms:W3CDTF">2025-01-16T09:56:13Z</dcterms:modified>
  <dc:language>en-US</dc:language>
</cp:coreProperties>
</file>